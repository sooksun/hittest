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2569\"/>
    </mc:Choice>
  </mc:AlternateContent>
  <xr:revisionPtr revIDLastSave="0" documentId="13_ncr:1_{E9631406-5E1E-4123-88A7-BF9D87C86416}" xr6:coauthVersionLast="47" xr6:coauthVersionMax="47" xr10:uidLastSave="{00000000-0000-0000-0000-000000000000}"/>
  <bookViews>
    <workbookView xWindow="-60" yWindow="30" windowWidth="11400" windowHeight="15390" activeTab="5" xr2:uid="{00000000-000D-0000-FFFF-FFFF00000000}"/>
  </bookViews>
  <sheets>
    <sheet name="index" sheetId="1" r:id="rId1"/>
    <sheet name="บันทึก" sheetId="2" r:id="rId2"/>
    <sheet name="รายชื่อครู" sheetId="3" r:id="rId3"/>
    <sheet name="จำนวนนักเรียน" sheetId="19" r:id="rId4"/>
    <sheet name="อ.2-อ.3" sheetId="17" r:id="rId5"/>
    <sheet name="ป.1-ป.6" sheetId="14" r:id="rId6"/>
    <sheet name="ม.1-ม.3" sheetId="15" r:id="rId7"/>
    <sheet name="ย้ายเข้า-นักเรียนใหม่" sheetId="18" r:id="rId8"/>
    <sheet name="ย้ายออก" sheetId="7" r:id="rId9"/>
    <sheet name="xxจัดห้อง" sheetId="10" r:id="rId10"/>
  </sheets>
  <definedNames>
    <definedName name="_xlnm._FilterDatabase" localSheetId="9" hidden="1">xxจัดห้อง!$A$1:$H$109</definedName>
    <definedName name="_xlnm._FilterDatabase" localSheetId="7" hidden="1">'ย้ายเข้า-นักเรียนใหม่'!$B$1:$J$90</definedName>
    <definedName name="_xlnm.Print_Area" localSheetId="5">'ป.1-ป.6'!$A$1:$L$574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9" i="15" l="1"/>
  <c r="D168" i="15"/>
  <c r="N9" i="19"/>
  <c r="D122" i="15"/>
  <c r="D121" i="15"/>
  <c r="G14" i="19"/>
  <c r="G15" i="19"/>
  <c r="D14" i="19"/>
  <c r="N14" i="19" s="1"/>
  <c r="D15" i="19"/>
  <c r="N15" i="19" s="1"/>
  <c r="D450" i="14"/>
  <c r="D327" i="14"/>
  <c r="D326" i="14"/>
  <c r="D286" i="14"/>
  <c r="D285" i="14"/>
  <c r="L8" i="19"/>
  <c r="M7" i="19"/>
  <c r="M9" i="19"/>
  <c r="M11" i="19"/>
  <c r="M13" i="19"/>
  <c r="M14" i="19"/>
  <c r="M15" i="19"/>
  <c r="M18" i="19"/>
  <c r="M19" i="19"/>
  <c r="M20" i="19"/>
  <c r="M6" i="19"/>
  <c r="D19" i="19"/>
  <c r="N19" i="19" s="1"/>
  <c r="N20" i="19"/>
  <c r="N13" i="19"/>
  <c r="J6" i="19"/>
  <c r="D81" i="15"/>
  <c r="D80" i="15"/>
  <c r="D82" i="15" s="1"/>
  <c r="D40" i="15"/>
  <c r="D39" i="15"/>
  <c r="D573" i="14"/>
  <c r="D572" i="14"/>
  <c r="D574" i="14" s="1"/>
  <c r="D532" i="14"/>
  <c r="D531" i="14"/>
  <c r="D533" i="14" s="1"/>
  <c r="D491" i="14"/>
  <c r="D490" i="14"/>
  <c r="D492" i="14" s="1"/>
  <c r="D449" i="14"/>
  <c r="D409" i="14"/>
  <c r="D408" i="14"/>
  <c r="D410" i="14" s="1"/>
  <c r="D368" i="14"/>
  <c r="D367" i="14"/>
  <c r="D369" i="14" s="1"/>
  <c r="J7" i="19"/>
  <c r="J9" i="19"/>
  <c r="J10" i="19"/>
  <c r="J11" i="19"/>
  <c r="J13" i="19"/>
  <c r="J14" i="19"/>
  <c r="J15" i="19"/>
  <c r="J18" i="19"/>
  <c r="J19" i="19"/>
  <c r="J20" i="19"/>
  <c r="D245" i="14"/>
  <c r="D244" i="14"/>
  <c r="D246" i="14" s="1"/>
  <c r="D204" i="14"/>
  <c r="D203" i="14"/>
  <c r="D205" i="14" s="1"/>
  <c r="D162" i="14"/>
  <c r="D163" i="14"/>
  <c r="D122" i="14"/>
  <c r="D121" i="14"/>
  <c r="D123" i="14" s="1"/>
  <c r="D81" i="14"/>
  <c r="D80" i="14"/>
  <c r="D39" i="14"/>
  <c r="D41" i="14" s="1"/>
  <c r="D40" i="14"/>
  <c r="G11" i="19"/>
  <c r="G7" i="19"/>
  <c r="N7" i="19" s="1"/>
  <c r="D9" i="19"/>
  <c r="G9" i="19"/>
  <c r="F10" i="19"/>
  <c r="E10" i="19"/>
  <c r="B10" i="19"/>
  <c r="C10" i="19"/>
  <c r="M10" i="19" s="1"/>
  <c r="G13" i="19"/>
  <c r="G18" i="19"/>
  <c r="G19" i="19"/>
  <c r="G20" i="19"/>
  <c r="D13" i="19"/>
  <c r="D18" i="19"/>
  <c r="D20" i="19"/>
  <c r="G21" i="19"/>
  <c r="E21" i="19"/>
  <c r="B21" i="19"/>
  <c r="L20" i="19"/>
  <c r="L19" i="19"/>
  <c r="F21" i="19"/>
  <c r="L18" i="19"/>
  <c r="I16" i="19"/>
  <c r="H16" i="19"/>
  <c r="J16" i="19" s="1"/>
  <c r="E16" i="19"/>
  <c r="B16" i="19"/>
  <c r="L15" i="19"/>
  <c r="L14" i="19"/>
  <c r="L13" i="19"/>
  <c r="E25" i="3"/>
  <c r="L41" i="15"/>
  <c r="L82" i="15" s="1"/>
  <c r="A44" i="17"/>
  <c r="A86" i="17" s="1"/>
  <c r="A128" i="17" s="1"/>
  <c r="A4" i="3" a="1"/>
  <c r="A4" i="3" s="1"/>
  <c r="G33" i="3"/>
  <c r="E30" i="3"/>
  <c r="A43" i="15"/>
  <c r="A84" i="15" s="1"/>
  <c r="A125" i="15" s="1"/>
  <c r="A43" i="14"/>
  <c r="A84" i="14" s="1"/>
  <c r="G122" i="15"/>
  <c r="G122" i="14"/>
  <c r="L82" i="14"/>
  <c r="L123" i="14" s="1"/>
  <c r="L164" i="14" s="1"/>
  <c r="L205" i="14" s="1"/>
  <c r="L246" i="14" s="1"/>
  <c r="L287" i="14" s="1"/>
  <c r="L328" i="14" s="1"/>
  <c r="L369" i="14" s="1"/>
  <c r="L410" i="14" s="1"/>
  <c r="L451" i="14" s="1"/>
  <c r="L492" i="14" s="1"/>
  <c r="L533" i="14" s="1"/>
  <c r="L574" i="14" s="1"/>
  <c r="G81" i="14"/>
  <c r="G40" i="14"/>
  <c r="E32" i="3"/>
  <c r="E31" i="3"/>
  <c r="E29" i="3"/>
  <c r="E28" i="3"/>
  <c r="E27" i="3"/>
  <c r="E26" i="3"/>
  <c r="E24" i="3"/>
  <c r="E23" i="3"/>
  <c r="E22" i="3"/>
  <c r="D164" i="14" l="1"/>
  <c r="D82" i="14"/>
  <c r="A125" i="14"/>
  <c r="A166" i="14" s="1"/>
  <c r="A207" i="14" s="1"/>
  <c r="A248" i="14" s="1"/>
  <c r="A289" i="14" s="1"/>
  <c r="A330" i="14" s="1"/>
  <c r="A371" i="14" s="1"/>
  <c r="A412" i="14" s="1"/>
  <c r="A453" i="14" s="1"/>
  <c r="A494" i="14" s="1"/>
  <c r="A535" i="14" s="1"/>
  <c r="N18" i="19"/>
  <c r="D41" i="15"/>
  <c r="D123" i="15"/>
  <c r="N16" i="19"/>
  <c r="D451" i="14"/>
  <c r="D328" i="14"/>
  <c r="D287" i="14"/>
  <c r="F8" i="19"/>
  <c r="M8" i="19" s="1"/>
  <c r="C8" i="19"/>
  <c r="D7" i="19"/>
  <c r="L7" i="19"/>
  <c r="G6" i="19"/>
  <c r="N6" i="19" s="1"/>
  <c r="N8" i="19" s="1"/>
  <c r="E8" i="19"/>
  <c r="D6" i="19"/>
  <c r="L6" i="19"/>
  <c r="B8" i="19"/>
  <c r="F12" i="19"/>
  <c r="L9" i="19"/>
  <c r="G10" i="19"/>
  <c r="E12" i="19"/>
  <c r="C12" i="19"/>
  <c r="B12" i="19"/>
  <c r="D11" i="19"/>
  <c r="N11" i="19" s="1"/>
  <c r="L11" i="19"/>
  <c r="D10" i="19"/>
  <c r="N10" i="19" s="1"/>
  <c r="L10" i="19"/>
  <c r="D21" i="19"/>
  <c r="L21" i="19"/>
  <c r="C21" i="19"/>
  <c r="M21" i="19" s="1"/>
  <c r="F16" i="19"/>
  <c r="G16" i="19" s="1"/>
  <c r="C16" i="19"/>
  <c r="L16" i="19"/>
  <c r="L123" i="15"/>
  <c r="L165" i="15"/>
  <c r="E33" i="3"/>
  <c r="F32" i="3"/>
  <c r="F29" i="3"/>
  <c r="F26" i="3"/>
  <c r="F23" i="3"/>
  <c r="N12" i="19" l="1"/>
  <c r="N17" i="19" s="1"/>
  <c r="M12" i="19"/>
  <c r="D16" i="19"/>
  <c r="M16" i="19"/>
  <c r="N21" i="19"/>
  <c r="J17" i="19"/>
  <c r="J12" i="19"/>
  <c r="C17" i="19"/>
  <c r="G8" i="19"/>
  <c r="F17" i="19"/>
  <c r="D8" i="19"/>
  <c r="G12" i="19"/>
  <c r="E17" i="19"/>
  <c r="B17" i="19"/>
  <c r="L12" i="19"/>
  <c r="D12" i="19"/>
  <c r="N22" i="19" l="1"/>
  <c r="M17" i="19"/>
  <c r="G17" i="19"/>
  <c r="D17" i="19"/>
  <c r="L17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<sst xmlns="http://schemas.openxmlformats.org/spreadsheetml/2006/main" count="3207" uniqueCount="1093">
  <si>
    <t>ครู</t>
  </si>
  <si>
    <t>รายการ</t>
  </si>
  <si>
    <t>ใบสั่งซื้อหนังสือเรียน</t>
  </si>
  <si>
    <t>https://docs.google.com/spreadsheets/d/15wSXchJU6FHen-VFOoQPwxwgfdORD6IqmBmJIoFg6ys/edit?gid=707846140#gid=707846140</t>
  </si>
  <si>
    <t>ส่งโครงการ</t>
  </si>
  <si>
    <t>https://drive.google.com/drive/u/2/folders/18loU2-QbOvZi722j7CewxR6GyYJZHoSk</t>
  </si>
  <si>
    <t>งานศิลปหัตถกรรมนักเรียน ปีการศึกษา 2568 ระดับเขตพื้นที่การศึกษา สพป. เชียงราย เขต 3</t>
  </si>
  <si>
    <t>งานศิลปหัตถกรรมนักเรียนระดับเขตพื้นที่การศึกษา ครั้งที่ 73 ปีการศึกษา 2568</t>
  </si>
  <si>
    <t>บันทึก ของชานนท์</t>
  </si>
  <si>
    <t>วันที่</t>
  </si>
  <si>
    <t>การแก้ไขล่าสุด</t>
  </si>
  <si>
    <t>ร่างรายชื่อ ป.1  จากการรวมคะแนนความสามารถภาษา ของ อ.3</t>
  </si>
  <si>
    <t>ร่างรายชื่อ อ.3 ป.2 นักเรียนป.2 แยกห้อง  ย้ายห้องบ้างคน</t>
  </si>
  <si>
    <t>ขอความกรุณาไม่แชร์ลิงก์ข้อมูลใน Google sheet นี้ออกนอกโรงเรียนนะครับ</t>
  </si>
  <si>
    <t>ชื่อ - สกุล ว่าง</t>
  </si>
  <si>
    <t>ครูย้าย</t>
  </si>
  <si>
    <t>ฉัตรดนัย ใยญาติ ม.2</t>
  </si>
  <si>
    <t xml:space="preserve">รพีพรรณ    มาลารัตน์   </t>
  </si>
  <si>
    <t xml:space="preserve">ชัชพล ลำดวน       </t>
  </si>
  <si>
    <t xml:space="preserve">มาลินี ดอนมูล   </t>
  </si>
  <si>
    <t>ชั้น</t>
  </si>
  <si>
    <t>ห้อง1</t>
  </si>
  <si>
    <t>ห้อง2</t>
  </si>
  <si>
    <t>ห้อง3</t>
  </si>
  <si>
    <t xml:space="preserve">ศุภกานต์ ชื่นจิต       </t>
  </si>
  <si>
    <t>อ.2</t>
  </si>
  <si>
    <t xml:space="preserve">อรปรียา กาแก้ว </t>
  </si>
  <si>
    <t>อ.3</t>
  </si>
  <si>
    <t>ป.1</t>
  </si>
  <si>
    <t>ป.2</t>
  </si>
  <si>
    <t>ป.3</t>
  </si>
  <si>
    <t xml:space="preserve">กัญญาวีร์ </t>
  </si>
  <si>
    <t>ป.4</t>
  </si>
  <si>
    <t>ป.5</t>
  </si>
  <si>
    <t>ป.6</t>
  </si>
  <si>
    <t>ม.1</t>
  </si>
  <si>
    <t>ม.2</t>
  </si>
  <si>
    <t>ม.3</t>
  </si>
  <si>
    <t>รวม</t>
  </si>
  <si>
    <t>รอรายชื่อนิ่งจะแบ่งเป็น2ห้อง</t>
  </si>
  <si>
    <t>-</t>
  </si>
  <si>
    <t>คน</t>
  </si>
  <si>
    <t xml:space="preserve">   </t>
  </si>
  <si>
    <t>ที่</t>
  </si>
  <si>
    <t>เลข นร.</t>
  </si>
  <si>
    <t>เลขประจำตัวประชาชน</t>
  </si>
  <si>
    <t>ชื่อ1</t>
  </si>
  <si>
    <t>ชื่อ</t>
  </si>
  <si>
    <t>สกุล</t>
  </si>
  <si>
    <t>คะแนน</t>
  </si>
  <si>
    <t>นักเรียนใหม่</t>
  </si>
  <si>
    <t>1-5799-02091-13-3</t>
  </si>
  <si>
    <t>0-5799-00064-42-4</t>
  </si>
  <si>
    <t>0-5715-00021-74-7</t>
  </si>
  <si>
    <t>G-685700-002358</t>
  </si>
  <si>
    <t>G-685700-002391</t>
  </si>
  <si>
    <t>1-5799-02074-59-0</t>
  </si>
  <si>
    <t>1-5715-00153-93-5</t>
  </si>
  <si>
    <t>1-5715-00154-66-4</t>
  </si>
  <si>
    <t>1-5799-02105-40-1</t>
  </si>
  <si>
    <t>G-685700-002447</t>
  </si>
  <si>
    <t>G-685700-002463</t>
  </si>
  <si>
    <t>G-685700-002471</t>
  </si>
  <si>
    <t>1-5788-00139-64-1</t>
  </si>
  <si>
    <t>1-5715-00156-25-0</t>
  </si>
  <si>
    <t>0-5715-00021-20-8</t>
  </si>
  <si>
    <t>0-5799-00065-73-1</t>
  </si>
  <si>
    <t>G-675700-002331</t>
  </si>
  <si>
    <t>G-685700-002374</t>
  </si>
  <si>
    <t>1-5799-02080-61-1</t>
  </si>
  <si>
    <t>1-5715-00154-85-1</t>
  </si>
  <si>
    <t>1-5799-02101-01-5</t>
  </si>
  <si>
    <t>G-685700-002421</t>
  </si>
  <si>
    <t>G-675700-001971</t>
  </si>
  <si>
    <t>1-5788-00139-38-1</t>
  </si>
  <si>
    <t>7-5715-00122-93-1</t>
  </si>
  <si>
    <t>0-5799-00065-74-9</t>
  </si>
  <si>
    <t>G-685700-002196</t>
  </si>
  <si>
    <t>1-5715-00153-57-9</t>
  </si>
  <si>
    <t>1-5715-00153-82-0</t>
  </si>
  <si>
    <t>1-5799-02075-66-9</t>
  </si>
  <si>
    <t>1-5715-00155-71-7</t>
  </si>
  <si>
    <t>1-5715-00154-86-9</t>
  </si>
  <si>
    <t>0-5788-00010-36-4</t>
  </si>
  <si>
    <t>G-685700-002412</t>
  </si>
  <si>
    <t>G-685700-002439</t>
  </si>
  <si>
    <t>G-675700-002048</t>
  </si>
  <si>
    <t>1-5715-00153-60-9</t>
  </si>
  <si>
    <t>1-5788-00143-97-4</t>
  </si>
  <si>
    <t>0-5715-00022-65-4</t>
  </si>
  <si>
    <t>7-5715-00123-06-7</t>
  </si>
  <si>
    <t>G-685700-002340</t>
  </si>
  <si>
    <t>G-685700-002366</t>
  </si>
  <si>
    <t>1-5715-00153-62-5</t>
  </si>
  <si>
    <t>1-5715-00154-41-9</t>
  </si>
  <si>
    <t>1-5799-02096-79-8</t>
  </si>
  <si>
    <t>1-5788-00144-79-2</t>
  </si>
  <si>
    <t>7-5715-00122-84-2</t>
  </si>
  <si>
    <t>G-675700-002200</t>
  </si>
  <si>
    <t>G-675700-001963</t>
  </si>
  <si>
    <t>G675700002382</t>
  </si>
  <si>
    <t>เด็กชาย</t>
  </si>
  <si>
    <t>กิตติทัต</t>
  </si>
  <si>
    <t>ลาหู่นะ</t>
  </si>
  <si>
    <t>G675700002307</t>
  </si>
  <si>
    <t>จะดะ</t>
  </si>
  <si>
    <t>G675700002323</t>
  </si>
  <si>
    <t>จะเผอะ</t>
  </si>
  <si>
    <t>พรชัย</t>
  </si>
  <si>
    <t>แซ่ซือ</t>
  </si>
  <si>
    <t>พายุ</t>
  </si>
  <si>
    <t>ภคิน</t>
  </si>
  <si>
    <t>แซ่ฟู</t>
  </si>
  <si>
    <t>G675700002315</t>
  </si>
  <si>
    <t>ยาอื่อ2</t>
  </si>
  <si>
    <t>รชณกร</t>
  </si>
  <si>
    <t>ลาหุนะ</t>
  </si>
  <si>
    <t>วิชัย</t>
  </si>
  <si>
    <t>แซ่ลิ้ว</t>
  </si>
  <si>
    <t>G675700002374</t>
  </si>
  <si>
    <t>สุรพงษ์</t>
  </si>
  <si>
    <t>เด็กหญิง</t>
  </si>
  <si>
    <t>พรนภา</t>
  </si>
  <si>
    <t>รัญชิดา</t>
  </si>
  <si>
    <t>แซ่เจียว</t>
  </si>
  <si>
    <t>รัตนา</t>
  </si>
  <si>
    <t>แซ่หล่อ</t>
  </si>
  <si>
    <t>กันยารัตน์</t>
  </si>
  <si>
    <t>แหล่งี</t>
  </si>
  <si>
    <t>G685700050042</t>
  </si>
  <si>
    <t>นามู</t>
  </si>
  <si>
    <t>ไปรยา</t>
  </si>
  <si>
    <t>แซ่ขวาง</t>
  </si>
  <si>
    <t>อภิญญา</t>
  </si>
  <si>
    <t>แซ่พู่</t>
  </si>
  <si>
    <t>นิภาดา</t>
  </si>
  <si>
    <t>เยอะหมือ</t>
  </si>
  <si>
    <t>ชุติมณฑน์</t>
  </si>
  <si>
    <t>G685700039031</t>
  </si>
  <si>
    <t>มะลิ</t>
  </si>
  <si>
    <t>วิภาวนี</t>
  </si>
  <si>
    <t>คำดา</t>
  </si>
  <si>
    <t>ชยานันท์</t>
  </si>
  <si>
    <t>เชือมือกุ</t>
  </si>
  <si>
    <t>ชานนท์</t>
  </si>
  <si>
    <t>G685700051561</t>
  </si>
  <si>
    <t>ดาวิ</t>
  </si>
  <si>
    <t>ลาหู่</t>
  </si>
  <si>
    <t>นามนวล</t>
  </si>
  <si>
    <t>ธรณินทร์</t>
  </si>
  <si>
    <t>ธีรนัย</t>
  </si>
  <si>
    <t>แซ่แถะ</t>
  </si>
  <si>
    <t>นนทิวรรธน์</t>
  </si>
  <si>
    <t>คาล่า</t>
  </si>
  <si>
    <t>โบวี่</t>
  </si>
  <si>
    <t>แซ่หลู่</t>
  </si>
  <si>
    <t>G675700002340</t>
  </si>
  <si>
    <t>ลีโก</t>
  </si>
  <si>
    <t>มาเยอะ</t>
  </si>
  <si>
    <t>อนุทัย</t>
  </si>
  <si>
    <t>นายสาย</t>
  </si>
  <si>
    <t>G665700017347</t>
  </si>
  <si>
    <t>อาผ่า</t>
  </si>
  <si>
    <t>กัญญาพัชร</t>
  </si>
  <si>
    <t>แซ่จัง</t>
  </si>
  <si>
    <t>แสงจันทร์</t>
  </si>
  <si>
    <t>แซ่ย่าง</t>
  </si>
  <si>
    <t>G675700002234</t>
  </si>
  <si>
    <t>นาสือ</t>
  </si>
  <si>
    <t>กัญญลักษณ์</t>
  </si>
  <si>
    <t>กุลิสรา</t>
  </si>
  <si>
    <t>แซ่หวง</t>
  </si>
  <si>
    <t>ศศิธร</t>
  </si>
  <si>
    <t>แสงหวัง</t>
  </si>
  <si>
    <t>รินลดา</t>
  </si>
  <si>
    <t>แซ่ลี้</t>
  </si>
  <si>
    <t>มูละ</t>
  </si>
  <si>
    <t>เกวลิน</t>
  </si>
  <si>
    <t>แซ่หลี่</t>
  </si>
  <si>
    <t>เอวาริณ</t>
  </si>
  <si>
    <t>G675700002277</t>
  </si>
  <si>
    <t>นิด</t>
  </si>
  <si>
    <t>พรมมา</t>
  </si>
  <si>
    <t>กิตพจน์</t>
  </si>
  <si>
    <t>นายป่าง</t>
  </si>
  <si>
    <t>ด.ญ.</t>
  </si>
  <si>
    <t>นาดอชาวิ</t>
  </si>
  <si>
    <t>G655700005187</t>
  </si>
  <si>
    <t>จะงะ</t>
  </si>
  <si>
    <t>ลาหู่น่ะ</t>
  </si>
  <si>
    <t>นาสื่อจู</t>
  </si>
  <si>
    <t>G665700017185</t>
  </si>
  <si>
    <t>จะดอซา</t>
  </si>
  <si>
    <t>ลิจา</t>
  </si>
  <si>
    <t>ด.ช.</t>
  </si>
  <si>
    <t>ฮ่าโบวิ</t>
  </si>
  <si>
    <t>G665700015956</t>
  </si>
  <si>
    <t>จะดะสือ</t>
  </si>
  <si>
    <t>โยลา</t>
  </si>
  <si>
    <t>ชัยกร</t>
  </si>
  <si>
    <t>สัจจาเมือง</t>
  </si>
  <si>
    <t>หลี่ทียศ</t>
  </si>
  <si>
    <t>ชาติชาย</t>
  </si>
  <si>
    <t>หมื่อแล</t>
  </si>
  <si>
    <t>นามีติ</t>
  </si>
  <si>
    <t>นพดล</t>
  </si>
  <si>
    <t>เคียงสุวรรณ</t>
  </si>
  <si>
    <t>จะฟะ</t>
  </si>
  <si>
    <t>มิตรนิรันดร์</t>
  </si>
  <si>
    <t>สึวิโบ</t>
  </si>
  <si>
    <t>G685700042775</t>
  </si>
  <si>
    <t>ยะปะ</t>
  </si>
  <si>
    <t>ล๊อโบ</t>
  </si>
  <si>
    <t>วีรชิต</t>
  </si>
  <si>
    <t>ผายอกู่</t>
  </si>
  <si>
    <t>สรวิชญ์</t>
  </si>
  <si>
    <t>จอจอละ</t>
  </si>
  <si>
    <t>G665700017177</t>
  </si>
  <si>
    <t>หวู่หลี่</t>
  </si>
  <si>
    <t>จะพือ</t>
  </si>
  <si>
    <t>กมลพร</t>
  </si>
  <si>
    <t>แสงพลโรจน์ศรี</t>
  </si>
  <si>
    <t>อาเหมย</t>
  </si>
  <si>
    <t>ขวัญจิรา</t>
  </si>
  <si>
    <t>ขวัญฤทัย</t>
  </si>
  <si>
    <t>แซ่ซู</t>
  </si>
  <si>
    <t>นาสีโบ</t>
  </si>
  <si>
    <t>G665700017525</t>
  </si>
  <si>
    <t>เจ๋งมอญ</t>
  </si>
  <si>
    <t>ไทยใหญ่</t>
  </si>
  <si>
    <t>ธัญสินี</t>
  </si>
  <si>
    <t>เจริญจันทมณี</t>
  </si>
  <si>
    <t>G665700017665</t>
  </si>
  <si>
    <t>นาดะ</t>
  </si>
  <si>
    <t>G665700017541</t>
  </si>
  <si>
    <t>นิยะดา</t>
  </si>
  <si>
    <t>จะปา</t>
  </si>
  <si>
    <t>G675700002251</t>
  </si>
  <si>
    <t>บูอยู่</t>
  </si>
  <si>
    <t>G675700061346</t>
  </si>
  <si>
    <t>ลินดา</t>
  </si>
  <si>
    <t>กวีวัธน์</t>
  </si>
  <si>
    <t>เชอมือ</t>
  </si>
  <si>
    <t>G665700016006</t>
  </si>
  <si>
    <t>จะก๊ะซา</t>
  </si>
  <si>
    <t>G665700017240</t>
  </si>
  <si>
    <t>จะดะแส</t>
  </si>
  <si>
    <t>G685700051634</t>
  </si>
  <si>
    <t>จะสอ</t>
  </si>
  <si>
    <t>ธนากร</t>
  </si>
  <si>
    <t>แก้วทาน</t>
  </si>
  <si>
    <t>แซ่เหาะ</t>
  </si>
  <si>
    <t>ธาวิน</t>
  </si>
  <si>
    <t>ศิรันดร์กุล</t>
  </si>
  <si>
    <t>ภาคิน</t>
  </si>
  <si>
    <t>ยศไชยศักดิ์</t>
  </si>
  <si>
    <t>เกียรติไกรศร</t>
  </si>
  <si>
    <t>G675700003389</t>
  </si>
  <si>
    <t>ลีแซ</t>
  </si>
  <si>
    <t>ศรัญพงศ์</t>
  </si>
  <si>
    <t>อิ่นแก้ว</t>
  </si>
  <si>
    <t>G675700061371</t>
  </si>
  <si>
    <t>แอลู</t>
  </si>
  <si>
    <t>กัลย์สุดา</t>
  </si>
  <si>
    <t>เวยแม้กู่</t>
  </si>
  <si>
    <t>G665700017584</t>
  </si>
  <si>
    <t>ณณิชา</t>
  </si>
  <si>
    <t>G655700005284</t>
  </si>
  <si>
    <t>นาบูซือ</t>
  </si>
  <si>
    <t>G655700005250</t>
  </si>
  <si>
    <t>นาผึ</t>
  </si>
  <si>
    <t>G665700017550</t>
  </si>
  <si>
    <t>นาอือแส</t>
  </si>
  <si>
    <t>ภัทรานิษฐ์</t>
  </si>
  <si>
    <t>G665700017398</t>
  </si>
  <si>
    <t>วนิดา</t>
  </si>
  <si>
    <t>สโรชา</t>
  </si>
  <si>
    <t>เชอหมือ</t>
  </si>
  <si>
    <t>G665700017576</t>
  </si>
  <si>
    <t>หานะ</t>
  </si>
  <si>
    <t>G665700017631</t>
  </si>
  <si>
    <t>แอ่จี่หล่า</t>
  </si>
  <si>
    <t>ภูณดา</t>
  </si>
  <si>
    <t>ลาชี</t>
  </si>
  <si>
    <t>มอสี่</t>
  </si>
  <si>
    <t>G675700061362</t>
  </si>
  <si>
    <t>คามิน</t>
  </si>
  <si>
    <t>ชนาธิป</t>
  </si>
  <si>
    <t>ปะสี</t>
  </si>
  <si>
    <t>ชยากร</t>
  </si>
  <si>
    <t>แซ่จาง</t>
  </si>
  <si>
    <t>ตะวัน</t>
  </si>
  <si>
    <t>แชตุกุ</t>
  </si>
  <si>
    <t>ธนวัต</t>
  </si>
  <si>
    <t>ภคนิล</t>
  </si>
  <si>
    <t>รักโชติ</t>
  </si>
  <si>
    <t>ภาคภูมิ</t>
  </si>
  <si>
    <t>ศีลธรรมดี</t>
  </si>
  <si>
    <t>ภูรินทร์</t>
  </si>
  <si>
    <t>ทับโพธิ์</t>
  </si>
  <si>
    <t>G685700042601</t>
  </si>
  <si>
    <t>ยาอื่อ1</t>
  </si>
  <si>
    <t>G685700042929</t>
  </si>
  <si>
    <t>ลิสอ</t>
  </si>
  <si>
    <t>ศุภวิทย์</t>
  </si>
  <si>
    <t>สุทธิชัย</t>
  </si>
  <si>
    <t>อาวอง</t>
  </si>
  <si>
    <t>กนกอร</t>
  </si>
  <si>
    <t>ไส่ไอ่</t>
  </si>
  <si>
    <t>G665700017657</t>
  </si>
  <si>
    <t>จันทา</t>
  </si>
  <si>
    <t>ธีรดา</t>
  </si>
  <si>
    <t>นันทภัค</t>
  </si>
  <si>
    <t>G665700017371</t>
  </si>
  <si>
    <t>มิข่าละ</t>
  </si>
  <si>
    <t>วรรณวริน</t>
  </si>
  <si>
    <t>ศรีอริยทรัพย์</t>
  </si>
  <si>
    <t>วีระดา</t>
  </si>
  <si>
    <t>สุนิตา</t>
  </si>
  <si>
    <t>อาริสา</t>
  </si>
  <si>
    <t>G665700034161</t>
  </si>
  <si>
    <t>กิตติชัย</t>
  </si>
  <si>
    <t>G665700034136</t>
  </si>
  <si>
    <t>จะทอ</t>
  </si>
  <si>
    <t>G665700032150</t>
  </si>
  <si>
    <t>จิรภาพ</t>
  </si>
  <si>
    <t>โรจน์ขันติโชติ</t>
  </si>
  <si>
    <t>G665700033512</t>
  </si>
  <si>
    <t>ไชยา</t>
  </si>
  <si>
    <t>ณัฐกรณ์</t>
  </si>
  <si>
    <t>พีรพัฒน์</t>
  </si>
  <si>
    <t>ใจแปง</t>
  </si>
  <si>
    <t>G665700033555</t>
  </si>
  <si>
    <t>ม่าดิ</t>
  </si>
  <si>
    <t>G665700034209</t>
  </si>
  <si>
    <t>วรชิต</t>
  </si>
  <si>
    <t>วรายุ</t>
  </si>
  <si>
    <t>ศุภวุฒิ</t>
  </si>
  <si>
    <t>G665700034128</t>
  </si>
  <si>
    <t>อภิชัย</t>
  </si>
  <si>
    <t>กสินา</t>
  </si>
  <si>
    <t>แซ่เจิ่ง</t>
  </si>
  <si>
    <t>กัญชพร</t>
  </si>
  <si>
    <t>ถิรธรรมโกวิทย์</t>
  </si>
  <si>
    <t>G665700034152</t>
  </si>
  <si>
    <t>กันตา</t>
  </si>
  <si>
    <t>G665700032184</t>
  </si>
  <si>
    <t>การะเกด</t>
  </si>
  <si>
    <t>ลาหู่ยี</t>
  </si>
  <si>
    <t>ดาราพร</t>
  </si>
  <si>
    <t>G665700034241</t>
  </si>
  <si>
    <t>G665700033563</t>
  </si>
  <si>
    <t>นาล่า</t>
  </si>
  <si>
    <t>นิภาพร</t>
  </si>
  <si>
    <t>พัชรมัย</t>
  </si>
  <si>
    <t>ลอซัง</t>
  </si>
  <si>
    <t>วันดี</t>
  </si>
  <si>
    <t>พูเบกู</t>
  </si>
  <si>
    <t>สาวิณี</t>
  </si>
  <si>
    <t>แซ่ทุ่ง</t>
  </si>
  <si>
    <t>G685700040543</t>
  </si>
  <si>
    <t>สุดาวัลย์</t>
  </si>
  <si>
    <t>แซ่ลี่</t>
  </si>
  <si>
    <t>G665700031960</t>
  </si>
  <si>
    <t>กิตติพงษ์</t>
  </si>
  <si>
    <t>G665700032001</t>
  </si>
  <si>
    <t>จิรเดช</t>
  </si>
  <si>
    <t>จันทร์แก้ว</t>
  </si>
  <si>
    <t>ชนน</t>
  </si>
  <si>
    <t>ธีรวิทย์</t>
  </si>
  <si>
    <t>แซ่หลอ</t>
  </si>
  <si>
    <t>นวิน</t>
  </si>
  <si>
    <t>แสนหวั่ง</t>
  </si>
  <si>
    <t>ปิยพนธ์</t>
  </si>
  <si>
    <t>G665700030157</t>
  </si>
  <si>
    <t>พิทยุฒม์</t>
  </si>
  <si>
    <t>ภูบดินทร์</t>
  </si>
  <si>
    <t>ภูษิต</t>
  </si>
  <si>
    <t>พรสวรรค์คีรี</t>
  </si>
  <si>
    <t>G665700030319</t>
  </si>
  <si>
    <t>ยะดะ</t>
  </si>
  <si>
    <t>สุรพล</t>
  </si>
  <si>
    <t>G665700032010</t>
  </si>
  <si>
    <t>แซหมี่</t>
  </si>
  <si>
    <t>G665700034187</t>
  </si>
  <si>
    <t>ตามา</t>
  </si>
  <si>
    <t>ธิดาพร</t>
  </si>
  <si>
    <t>G665700033571</t>
  </si>
  <si>
    <t>นาสึคา</t>
  </si>
  <si>
    <t>พรนภานันท์</t>
  </si>
  <si>
    <t>พิมพ์นภา</t>
  </si>
  <si>
    <t>ยะดา</t>
  </si>
  <si>
    <t>ศศินันท์</t>
  </si>
  <si>
    <t>เฉลิมพรเกษม</t>
  </si>
  <si>
    <t>สุธิดา</t>
  </si>
  <si>
    <t>แซดู่</t>
  </si>
  <si>
    <t>สุภาพร</t>
  </si>
  <si>
    <t>G665700029159</t>
  </si>
  <si>
    <t>อาหมีแส้</t>
  </si>
  <si>
    <t>G685700040705</t>
  </si>
  <si>
    <t>สุดาพร</t>
  </si>
  <si>
    <t>G685700039456</t>
  </si>
  <si>
    <t>จะโบ</t>
  </si>
  <si>
    <t>G685700044581</t>
  </si>
  <si>
    <t>จะฟู</t>
  </si>
  <si>
    <t>G685700044662</t>
  </si>
  <si>
    <t>จะฟูแส</t>
  </si>
  <si>
    <t>G685700044727</t>
  </si>
  <si>
    <t>จะสือ</t>
  </si>
  <si>
    <t>G685700044816</t>
  </si>
  <si>
    <t>จะสือโบ</t>
  </si>
  <si>
    <t>G685700044875</t>
  </si>
  <si>
    <t>จะหวะ</t>
  </si>
  <si>
    <t>G685700045090</t>
  </si>
  <si>
    <t>G685700045545</t>
  </si>
  <si>
    <t>โพคา</t>
  </si>
  <si>
    <t>G675700061338</t>
  </si>
  <si>
    <t>ยะป่าสือ</t>
  </si>
  <si>
    <t>G685700045570</t>
  </si>
  <si>
    <t>ยะป่าแส</t>
  </si>
  <si>
    <t>G685700045596</t>
  </si>
  <si>
    <t>ลิจู</t>
  </si>
  <si>
    <t>G665700019561</t>
  </si>
  <si>
    <t>สมศักดิ์</t>
  </si>
  <si>
    <t>แซ่สี่</t>
  </si>
  <si>
    <t>ซานา</t>
  </si>
  <si>
    <t>G685700045626</t>
  </si>
  <si>
    <t>ซีลา</t>
  </si>
  <si>
    <t>ทัศนีย์</t>
  </si>
  <si>
    <t>ซูข่า</t>
  </si>
  <si>
    <t>G685700045642</t>
  </si>
  <si>
    <t>นานู</t>
  </si>
  <si>
    <t>นาลอ</t>
  </si>
  <si>
    <t>G685700045529</t>
  </si>
  <si>
    <t>นาแล</t>
  </si>
  <si>
    <t>G685700051332</t>
  </si>
  <si>
    <t>นาสึซาง</t>
  </si>
  <si>
    <t>G685700051979</t>
  </si>
  <si>
    <t>นาหวะ</t>
  </si>
  <si>
    <t>นิดา</t>
  </si>
  <si>
    <t>G685700051936</t>
  </si>
  <si>
    <t>มีมา</t>
  </si>
  <si>
    <t>ลีเบคา</t>
  </si>
  <si>
    <t>G665700030441</t>
  </si>
  <si>
    <t>สุนิษา</t>
  </si>
  <si>
    <t>G665700034276</t>
  </si>
  <si>
    <t>กฤตัชญ์</t>
  </si>
  <si>
    <t>กันต์</t>
  </si>
  <si>
    <t>แลเฉอะ</t>
  </si>
  <si>
    <t>กายทิพย์</t>
  </si>
  <si>
    <t>กุลเดช</t>
  </si>
  <si>
    <t>G655700027903</t>
  </si>
  <si>
    <t>ณภัทร</t>
  </si>
  <si>
    <t>เดชโชคธนวงศ์</t>
  </si>
  <si>
    <t>ทิพย์ไชโย</t>
  </si>
  <si>
    <t>ปิยะ</t>
  </si>
  <si>
    <t>ธนัญชน</t>
  </si>
  <si>
    <t>G655700027962</t>
  </si>
  <si>
    <t>ป่าแซ่</t>
  </si>
  <si>
    <t>พิสูจน์</t>
  </si>
  <si>
    <t>แซ่ถุง</t>
  </si>
  <si>
    <t>กนกพร</t>
  </si>
  <si>
    <t>แซ่หู่</t>
  </si>
  <si>
    <t>ณัชชารินทร์</t>
  </si>
  <si>
    <t>ศุภลักภักดีกุล</t>
  </si>
  <si>
    <t>ณัฐณิชา</t>
  </si>
  <si>
    <t>แซ่หอ</t>
  </si>
  <si>
    <t>ณัฐนิช</t>
  </si>
  <si>
    <t>นาวะ</t>
  </si>
  <si>
    <t>ดวงฤทัย</t>
  </si>
  <si>
    <t>ธิติกานต์</t>
  </si>
  <si>
    <t>แสงหวั่ง</t>
  </si>
  <si>
    <t>นฤมล</t>
  </si>
  <si>
    <t>นวพร</t>
  </si>
  <si>
    <t>นารีรัตน์</t>
  </si>
  <si>
    <t>G665700033539</t>
  </si>
  <si>
    <t>นาแส้มา</t>
  </si>
  <si>
    <t>นิพาดา</t>
  </si>
  <si>
    <t>ปภาวรินทร์</t>
  </si>
  <si>
    <t>G665700034225</t>
  </si>
  <si>
    <t>ปรียาพร</t>
  </si>
  <si>
    <t>ปิยะดา</t>
  </si>
  <si>
    <t>อางี</t>
  </si>
  <si>
    <t>พัดชา</t>
  </si>
  <si>
    <t>G665700034110</t>
  </si>
  <si>
    <t>หมี่ส่า</t>
  </si>
  <si>
    <t>G665700033521</t>
  </si>
  <si>
    <t>อริสา</t>
  </si>
  <si>
    <t>หฤทัย</t>
  </si>
  <si>
    <t>แซ่หวัง</t>
  </si>
  <si>
    <t>กิตติคมน์</t>
  </si>
  <si>
    <t>ณภัทรสิต</t>
  </si>
  <si>
    <t>ดอน</t>
  </si>
  <si>
    <t>วิวาระ</t>
  </si>
  <si>
    <t>G655700027865</t>
  </si>
  <si>
    <t>ยี่แก้ว</t>
  </si>
  <si>
    <t>วีรภัทร</t>
  </si>
  <si>
    <t>ลาเชกุ</t>
  </si>
  <si>
    <t>ศิวัช</t>
  </si>
  <si>
    <t>G675700057730</t>
  </si>
  <si>
    <t>สิทธิยุทธ</t>
  </si>
  <si>
    <t>สุธิชัย</t>
  </si>
  <si>
    <t>สุรชัย</t>
  </si>
  <si>
    <t>อัศวิน</t>
  </si>
  <si>
    <t>ดุจดาว</t>
  </si>
  <si>
    <t>เกกาฤทธิ์</t>
  </si>
  <si>
    <t>G665700030360</t>
  </si>
  <si>
    <t>นาแซะ</t>
  </si>
  <si>
    <t>G665700039651</t>
  </si>
  <si>
    <t>นาพือ</t>
  </si>
  <si>
    <t>G665700032371</t>
  </si>
  <si>
    <t>บูเม</t>
  </si>
  <si>
    <t>หมือแล</t>
  </si>
  <si>
    <t>G655700028071</t>
  </si>
  <si>
    <t>ไพลิน</t>
  </si>
  <si>
    <t>มัทนา</t>
  </si>
  <si>
    <t>มวย</t>
  </si>
  <si>
    <t>โมรียาห์</t>
  </si>
  <si>
    <t>ริซ่า</t>
  </si>
  <si>
    <t>G665700032109</t>
  </si>
  <si>
    <t>วิภา</t>
  </si>
  <si>
    <t>สุชาดา</t>
  </si>
  <si>
    <t>สุดา</t>
  </si>
  <si>
    <t>สุภัสสรา</t>
  </si>
  <si>
    <t>จะผึ</t>
  </si>
  <si>
    <t>สุวรรณา</t>
  </si>
  <si>
    <t>G665700032397</t>
  </si>
  <si>
    <t>เส่หม้อเหล่</t>
  </si>
  <si>
    <t>หงษ์ฟ้า</t>
  </si>
  <si>
    <t>งามทวีโชค</t>
  </si>
  <si>
    <t>G655700025714</t>
  </si>
  <si>
    <t>อันนา</t>
  </si>
  <si>
    <t>G655700028080</t>
  </si>
  <si>
    <t>อาจูเหมย</t>
  </si>
  <si>
    <t>แสงจัง</t>
  </si>
  <si>
    <t>G655700025692</t>
  </si>
  <si>
    <t>กวิน</t>
  </si>
  <si>
    <t>ไกรวัฒน์</t>
  </si>
  <si>
    <t>แซ่ฝู</t>
  </si>
  <si>
    <t>โชติภณ</t>
  </si>
  <si>
    <t>แซ่กุง</t>
  </si>
  <si>
    <t>จะนู</t>
  </si>
  <si>
    <t>ธิติ</t>
  </si>
  <si>
    <t>ธีรเดช</t>
  </si>
  <si>
    <t>เชหมื่อ</t>
  </si>
  <si>
    <t>G655700025773</t>
  </si>
  <si>
    <t>ปะแตะ</t>
  </si>
  <si>
    <t>ภากร</t>
  </si>
  <si>
    <t>แช่ฟาง</t>
  </si>
  <si>
    <t>ยศภัทร</t>
  </si>
  <si>
    <t>โยแซ</t>
  </si>
  <si>
    <t>คำปัง</t>
  </si>
  <si>
    <t>อภิสิทธิ์</t>
  </si>
  <si>
    <t>กรกนก</t>
  </si>
  <si>
    <t>G645700018831</t>
  </si>
  <si>
    <t>ณัฐดา</t>
  </si>
  <si>
    <t>ตะวันฉาย</t>
  </si>
  <si>
    <t>ลาหู่ยี่</t>
  </si>
  <si>
    <t>ทิพากร</t>
  </si>
  <si>
    <t>เชือหมึกุ</t>
  </si>
  <si>
    <t>G655700025790</t>
  </si>
  <si>
    <t>แชหมื่อ</t>
  </si>
  <si>
    <t>นิราพร</t>
  </si>
  <si>
    <t>ปิ่นทิพย์</t>
  </si>
  <si>
    <t>พศิกา</t>
  </si>
  <si>
    <t>มนัญชยา</t>
  </si>
  <si>
    <t>แสนพรม</t>
  </si>
  <si>
    <t>อณิชา</t>
  </si>
  <si>
    <t>G665700008933</t>
  </si>
  <si>
    <t>คมสัน</t>
  </si>
  <si>
    <t>เชอหมื่อ</t>
  </si>
  <si>
    <t>เจนภพ</t>
  </si>
  <si>
    <t>ช่าวต่า</t>
  </si>
  <si>
    <t>ณัฐพันธ์</t>
  </si>
  <si>
    <t>ทาขาว</t>
  </si>
  <si>
    <t>แซ่ลี</t>
  </si>
  <si>
    <t>ธนัญชัย</t>
  </si>
  <si>
    <t>นิจรภัทร</t>
  </si>
  <si>
    <t>นาวา</t>
  </si>
  <si>
    <t>พรวิวัฒน์สกุล</t>
  </si>
  <si>
    <t>เปรมชัย</t>
  </si>
  <si>
    <t>ราชินทร์</t>
  </si>
  <si>
    <t>เฌอหมื่อ</t>
  </si>
  <si>
    <t>สายชล</t>
  </si>
  <si>
    <t>G655700025757</t>
  </si>
  <si>
    <t>อาทิตย์</t>
  </si>
  <si>
    <t>ณัฐพร</t>
  </si>
  <si>
    <t>แซ่จ่าง</t>
  </si>
  <si>
    <t>G665700008836</t>
  </si>
  <si>
    <t>ดวงฤดี</t>
  </si>
  <si>
    <t>ธิดาญา</t>
  </si>
  <si>
    <t>แช่ยาง</t>
  </si>
  <si>
    <t>นภสร</t>
  </si>
  <si>
    <t>แส้พากู่</t>
  </si>
  <si>
    <t>G645700018564</t>
  </si>
  <si>
    <t>นางะ</t>
  </si>
  <si>
    <t>นาแตะ</t>
  </si>
  <si>
    <t>พนิตชนัน</t>
  </si>
  <si>
    <t>ลลิตา</t>
  </si>
  <si>
    <t>วีนา</t>
  </si>
  <si>
    <t>G635700009671</t>
  </si>
  <si>
    <t>หล่าซือเหมย</t>
  </si>
  <si>
    <t>ไอลิน</t>
  </si>
  <si>
    <t>ไถ่จ้า</t>
  </si>
  <si>
    <t>ไกรวิชญ์</t>
  </si>
  <si>
    <t>G635700011497</t>
  </si>
  <si>
    <t>ชุติภาส</t>
  </si>
  <si>
    <t>ณัฐวิทย์</t>
  </si>
  <si>
    <t>ธงชัย</t>
  </si>
  <si>
    <t>ปองคุณ</t>
  </si>
  <si>
    <t>พงศภัค</t>
  </si>
  <si>
    <t>G635700009352</t>
  </si>
  <si>
    <t>วัชรบูรณ์</t>
  </si>
  <si>
    <t>แสงลี</t>
  </si>
  <si>
    <t>G635700011560</t>
  </si>
  <si>
    <t>สือบ้า</t>
  </si>
  <si>
    <t>สุรเดช</t>
  </si>
  <si>
    <t>หม่าแถ่</t>
  </si>
  <si>
    <t>กัญญาณัฐ</t>
  </si>
  <si>
    <t>จามีกรธารา</t>
  </si>
  <si>
    <t>กัลยา</t>
  </si>
  <si>
    <t>ณัฐชา</t>
  </si>
  <si>
    <t>สินพุ</t>
  </si>
  <si>
    <t>ลาเช</t>
  </si>
  <si>
    <t>นามีแช่</t>
  </si>
  <si>
    <t>นาหย่อ</t>
  </si>
  <si>
    <t>พนิตพร</t>
  </si>
  <si>
    <t>มนฤดี</t>
  </si>
  <si>
    <t>เมธาวดี</t>
  </si>
  <si>
    <t>ชาติพงษ์สกุล</t>
  </si>
  <si>
    <t>วรัญดา</t>
  </si>
  <si>
    <t>สริตา</t>
  </si>
  <si>
    <t>สุดารัตน์</t>
  </si>
  <si>
    <t>พนมอุดมเลิศ</t>
  </si>
  <si>
    <t>กานต์</t>
  </si>
  <si>
    <t>จะกอ</t>
  </si>
  <si>
    <t>จะลอ</t>
  </si>
  <si>
    <t>ธนกฤต</t>
  </si>
  <si>
    <t>ธีรวัชร์</t>
  </si>
  <si>
    <t>พัฒธิรเดช</t>
  </si>
  <si>
    <t>ยอบะ</t>
  </si>
  <si>
    <t>G635700011411</t>
  </si>
  <si>
    <t>ยะป่า</t>
  </si>
  <si>
    <t>รัตชัย</t>
  </si>
  <si>
    <t>วัฒนะพี</t>
  </si>
  <si>
    <t>แซ่วาง</t>
  </si>
  <si>
    <t>วีรกร</t>
  </si>
  <si>
    <t>สุวัชรพร</t>
  </si>
  <si>
    <t>วิยะ</t>
  </si>
  <si>
    <t>สมชาย</t>
  </si>
  <si>
    <t>ยาอู้</t>
  </si>
  <si>
    <t>กรกันยา</t>
  </si>
  <si>
    <t>แสงพลโจรน์ศรี</t>
  </si>
  <si>
    <t>ณิชารีย์</t>
  </si>
  <si>
    <t>นารีภัสร์</t>
  </si>
  <si>
    <t>นาแฮ</t>
  </si>
  <si>
    <t>บุญญาดา</t>
  </si>
  <si>
    <t>ปิยาอร</t>
  </si>
  <si>
    <t>วาสนา</t>
  </si>
  <si>
    <t>แซ่เฉิน</t>
  </si>
  <si>
    <t>สุทธิดา</t>
  </si>
  <si>
    <t>คะลา</t>
  </si>
  <si>
    <t>อายี่</t>
  </si>
  <si>
    <t>อลินดา</t>
  </si>
  <si>
    <t>G635700011543</t>
  </si>
  <si>
    <t>อาทิตยา</t>
  </si>
  <si>
    <t>กริชชัย</t>
  </si>
  <si>
    <t>กิตติพันธ์</t>
  </si>
  <si>
    <t>จะดี</t>
  </si>
  <si>
    <t>จะที</t>
  </si>
  <si>
    <t>ชวลิต</t>
  </si>
  <si>
    <t>ณัฐพัชร์</t>
  </si>
  <si>
    <t>พัสกร</t>
  </si>
  <si>
    <t>ภควัตร</t>
  </si>
  <si>
    <t>สงกรานต์</t>
  </si>
  <si>
    <t>G625700010628</t>
  </si>
  <si>
    <t>สมชาติ</t>
  </si>
  <si>
    <t>อนุพงศ์</t>
  </si>
  <si>
    <t>G625700011985</t>
  </si>
  <si>
    <t>เซียวหลั่ง</t>
  </si>
  <si>
    <t>ปริฉัตร</t>
  </si>
  <si>
    <t>คาล่ากู่</t>
  </si>
  <si>
    <t>พอสิ</t>
  </si>
  <si>
    <t>ภคพร</t>
  </si>
  <si>
    <t>รุจิรดา</t>
  </si>
  <si>
    <t>คำเงิน</t>
  </si>
  <si>
    <t>G625700010733</t>
  </si>
  <si>
    <t>แซมือ</t>
  </si>
  <si>
    <t>อิสิละ</t>
  </si>
  <si>
    <t>กลวัชร</t>
  </si>
  <si>
    <t>ศรีวอุไร</t>
  </si>
  <si>
    <t>กิติไซย์</t>
  </si>
  <si>
    <t>จะมู</t>
  </si>
  <si>
    <t>ธนธรณ์</t>
  </si>
  <si>
    <t>คึมสูง</t>
  </si>
  <si>
    <t>พงศกร</t>
  </si>
  <si>
    <t>วุฒิชัย</t>
  </si>
  <si>
    <t>หย่อหนิ</t>
  </si>
  <si>
    <t>ชิดชนก</t>
  </si>
  <si>
    <t>แพทย์เจริญ</t>
  </si>
  <si>
    <t>ชุติกาญจน์</t>
  </si>
  <si>
    <t>เยาว์ธานี</t>
  </si>
  <si>
    <t>ฐิตเมธี</t>
  </si>
  <si>
    <t>ธัญญรัฒน์</t>
  </si>
  <si>
    <t>อภิวัฒน์ปิติเมธา</t>
  </si>
  <si>
    <t>G625700010750</t>
  </si>
  <si>
    <t>นาทอ</t>
  </si>
  <si>
    <t>นิชกานต์</t>
  </si>
  <si>
    <t>อาหยี่</t>
  </si>
  <si>
    <t>จะทะ</t>
  </si>
  <si>
    <t>รุ่งธิวา</t>
  </si>
  <si>
    <t>ลักษิกา</t>
  </si>
  <si>
    <t>G625700010695</t>
  </si>
  <si>
    <t>แซ่ผง</t>
  </si>
  <si>
    <t>จะแฮ</t>
  </si>
  <si>
    <t>จักรธร</t>
  </si>
  <si>
    <t>ชัยวัฒน์</t>
  </si>
  <si>
    <t>ปยุต</t>
  </si>
  <si>
    <t>แซ่ยี่</t>
  </si>
  <si>
    <t>รชตะ</t>
  </si>
  <si>
    <t>ศุรสิทธิ์</t>
  </si>
  <si>
    <t>สิทธิชัย</t>
  </si>
  <si>
    <t>ตามิ</t>
  </si>
  <si>
    <t>ใสสุวรรณ์</t>
  </si>
  <si>
    <t>คำซื่อ</t>
  </si>
  <si>
    <t>อนันตชัย</t>
  </si>
  <si>
    <t>กชมน</t>
  </si>
  <si>
    <t>ณิชชยา</t>
  </si>
  <si>
    <t>G635700044832</t>
  </si>
  <si>
    <t>ดีสิ</t>
  </si>
  <si>
    <t>ทัศณีย์</t>
  </si>
  <si>
    <t>ขัดสีใส</t>
  </si>
  <si>
    <t>นงนุช</t>
  </si>
  <si>
    <t>นุชนภา</t>
  </si>
  <si>
    <t>ซางสู้</t>
  </si>
  <si>
    <t>พาขวัญ</t>
  </si>
  <si>
    <t>แซ่โก่</t>
  </si>
  <si>
    <t>G635700044859</t>
  </si>
  <si>
    <t>พีแหละ</t>
  </si>
  <si>
    <t>ลัดดา</t>
  </si>
  <si>
    <t>ลีเหมย</t>
  </si>
  <si>
    <t>วิกานดา</t>
  </si>
  <si>
    <t>ศิวาพร</t>
  </si>
  <si>
    <t>ละหู่นะ</t>
  </si>
  <si>
    <t>สุนิศา</t>
  </si>
  <si>
    <t>อารินท์พร</t>
  </si>
  <si>
    <t>จารุกิตติ์</t>
  </si>
  <si>
    <t>ปิดศักดิ์</t>
  </si>
  <si>
    <t>ฐิติพงศ์</t>
  </si>
  <si>
    <t>ณัฐชนน</t>
  </si>
  <si>
    <t>นธนัย</t>
  </si>
  <si>
    <t>แซ่สู่ง</t>
  </si>
  <si>
    <t>บุญทิวา</t>
  </si>
  <si>
    <t>พีระ</t>
  </si>
  <si>
    <t>ยูหน่าส่า</t>
  </si>
  <si>
    <t>วงศกร</t>
  </si>
  <si>
    <t>วรชัย</t>
  </si>
  <si>
    <t>แซ่ม้า</t>
  </si>
  <si>
    <t>วิวรรธน์</t>
  </si>
  <si>
    <t>ศรัณย์พัชร์</t>
  </si>
  <si>
    <t>สรัญกร</t>
  </si>
  <si>
    <t>แซฝู</t>
  </si>
  <si>
    <t>สุทธิพงษ์</t>
  </si>
  <si>
    <t>กรณิกา</t>
  </si>
  <si>
    <t>เขมนิจ</t>
  </si>
  <si>
    <t>ชลลดา</t>
  </si>
  <si>
    <t>อาเต๊อะ</t>
  </si>
  <si>
    <t>นาซือคา</t>
  </si>
  <si>
    <t>G615700018807</t>
  </si>
  <si>
    <t>นาหล่า</t>
  </si>
  <si>
    <t>จะฉี</t>
  </si>
  <si>
    <t>เบญจา</t>
  </si>
  <si>
    <t>พิมพ์พา</t>
  </si>
  <si>
    <t>มนรดา</t>
  </si>
  <si>
    <t>เยซอกู่</t>
  </si>
  <si>
    <t>ศศิวิมล</t>
  </si>
  <si>
    <t>สลันนุช</t>
  </si>
  <si>
    <t>ไพรพญา</t>
  </si>
  <si>
    <t>เกรียงไกร</t>
  </si>
  <si>
    <t>ขุนเดช</t>
  </si>
  <si>
    <t>G615700011144</t>
  </si>
  <si>
    <t>จะเพอะ</t>
  </si>
  <si>
    <t>ทิพล</t>
  </si>
  <si>
    <t>หลอกจา</t>
  </si>
  <si>
    <t>ธนวินท์</t>
  </si>
  <si>
    <t>นารา</t>
  </si>
  <si>
    <t>ปิติกร</t>
  </si>
  <si>
    <t>แซ่หวั่ง</t>
  </si>
  <si>
    <t>ภคนันท์</t>
  </si>
  <si>
    <t>รภีภัทร</t>
  </si>
  <si>
    <t>สิทธิพล</t>
  </si>
  <si>
    <t>หลี่ไกยิ่ง</t>
  </si>
  <si>
    <t>ชนุดร</t>
  </si>
  <si>
    <t>ชัยรัมภา</t>
  </si>
  <si>
    <t>สกุลรัตนไพศาล</t>
  </si>
  <si>
    <t>G635700044760</t>
  </si>
  <si>
    <t>ดีล่ะ</t>
  </si>
  <si>
    <t>ธัญรดา</t>
  </si>
  <si>
    <t>นาแซ</t>
  </si>
  <si>
    <t>นามีสอ</t>
  </si>
  <si>
    <t>นาย่อ</t>
  </si>
  <si>
    <t>นาสือติ</t>
  </si>
  <si>
    <t>พิชญาพร</t>
  </si>
  <si>
    <t>เพชรน้ำค้าง</t>
  </si>
  <si>
    <t>ยิวมื่อ</t>
  </si>
  <si>
    <t>รัชนีวรรณ</t>
  </si>
  <si>
    <t>รินรดา</t>
  </si>
  <si>
    <t>G685700054307</t>
  </si>
  <si>
    <t>เล้อขิ่น</t>
  </si>
  <si>
    <t>สุนิสา</t>
  </si>
  <si>
    <t>อิสิต๊ะ</t>
  </si>
  <si>
    <t>ไม่มาเรียน</t>
  </si>
  <si>
    <t>วงศธร</t>
  </si>
  <si>
    <t>ออก</t>
  </si>
  <si>
    <t>กมลวรรณ</t>
  </si>
  <si>
    <t>คะเรรัมย์</t>
  </si>
  <si>
    <t>มนัสพร</t>
  </si>
  <si>
    <t>รุ่งนภา</t>
  </si>
  <si>
    <t>โกวิท</t>
  </si>
  <si>
    <t>แซ่เจิ้ง</t>
  </si>
  <si>
    <t>ม.2/1</t>
  </si>
  <si>
    <t>ชวิน</t>
  </si>
  <si>
    <t>ธันวา</t>
  </si>
  <si>
    <t>บุญคเณศ</t>
  </si>
  <si>
    <t>ปฏิฎาน</t>
  </si>
  <si>
    <t>นาย</t>
  </si>
  <si>
    <t>พนิต</t>
  </si>
  <si>
    <t>G635700045138</t>
  </si>
  <si>
    <t>โยฮา</t>
  </si>
  <si>
    <t>หม้อสิ</t>
  </si>
  <si>
    <t>ศุภชัย</t>
  </si>
  <si>
    <t>ดวงจิต</t>
  </si>
  <si>
    <t>ธัญญาลักษณ์</t>
  </si>
  <si>
    <t>ธิดา</t>
  </si>
  <si>
    <t>นาบูตะ</t>
  </si>
  <si>
    <t>G635700085989</t>
  </si>
  <si>
    <t>นามี</t>
  </si>
  <si>
    <t>บัณฑิตา</t>
  </si>
  <si>
    <t>รุ่งไพลิน</t>
  </si>
  <si>
    <t>อาแป๊ะ</t>
  </si>
  <si>
    <t>อางี่</t>
  </si>
  <si>
    <t>ม.2/2</t>
  </si>
  <si>
    <t>จาตุรงค์</t>
  </si>
  <si>
    <t>นายคำ</t>
  </si>
  <si>
    <t>ชานน</t>
  </si>
  <si>
    <t>คำแดง</t>
  </si>
  <si>
    <t>เมธาสิทธิ์</t>
  </si>
  <si>
    <t>ชาติพงค์สกุล</t>
  </si>
  <si>
    <t>ยอดวันใส</t>
  </si>
  <si>
    <t>ลายใส</t>
  </si>
  <si>
    <t>ยะโอ๋</t>
  </si>
  <si>
    <t>สมภพ</t>
  </si>
  <si>
    <t>ลิจาง</t>
  </si>
  <si>
    <t>สิทธินนท์</t>
  </si>
  <si>
    <t>กานต์ธิดา</t>
  </si>
  <si>
    <t>ฐิติกา</t>
  </si>
  <si>
    <t>ดาว</t>
  </si>
  <si>
    <t>นรีกานต์</t>
  </si>
  <si>
    <t>G635700085962</t>
  </si>
  <si>
    <t>วิสา</t>
  </si>
  <si>
    <t>ศุภลักษณ์</t>
  </si>
  <si>
    <t>ปุ๊ขิ</t>
  </si>
  <si>
    <t>G665700002153</t>
  </si>
  <si>
    <t>อามีแต</t>
  </si>
  <si>
    <t>สุภัค</t>
  </si>
  <si>
    <t>บอแซะ</t>
  </si>
  <si>
    <t>ย้ายออก</t>
  </si>
  <si>
    <t>บุญยภู</t>
  </si>
  <si>
    <t>รร.ทางจ.เชียงใหม่</t>
  </si>
  <si>
    <t>โชติมณี</t>
  </si>
  <si>
    <t>รร.อบจ.เชียงราย</t>
  </si>
  <si>
    <t>G635700044956</t>
  </si>
  <si>
    <t>อุดร</t>
  </si>
  <si>
    <t>วิวาระ ออก</t>
  </si>
  <si>
    <t>G635700044913</t>
  </si>
  <si>
    <t>มีมี่</t>
  </si>
  <si>
    <t>ชาติชัย</t>
  </si>
  <si>
    <t>จะทิศ</t>
  </si>
  <si>
    <t xml:space="preserve">ไม่มาเรียน </t>
  </si>
  <si>
    <t>สิทธิโชค</t>
  </si>
  <si>
    <t xml:space="preserve">กทม. </t>
  </si>
  <si>
    <t>ชื่อ2</t>
  </si>
  <si>
    <t>ชื่อ3</t>
  </si>
  <si>
    <t>ชื่อ4</t>
  </si>
  <si>
    <t>ครูอนุบาลใหม่1</t>
  </si>
  <si>
    <t>ครูอนุบาลใหม่2</t>
  </si>
  <si>
    <t>ครููไทยใหม่</t>
  </si>
  <si>
    <t>ครูวิทยใหม่</t>
  </si>
  <si>
    <t>อ.2/1</t>
  </si>
  <si>
    <t>อ.2/2</t>
  </si>
  <si>
    <t>โรงเรียนบ้านพญาไพร</t>
  </si>
  <si>
    <t>ชั้นประถมศึกษาปีที่ 1/1</t>
  </si>
  <si>
    <t>ชื่อ - สกุล</t>
  </si>
  <si>
    <t>pass</t>
  </si>
  <si>
    <t>ช</t>
  </si>
  <si>
    <t>ญ</t>
  </si>
  <si>
    <t>ชั้นประถมศึกษาปีที่ 1/3</t>
  </si>
  <si>
    <t>ชั้นประถมศึกษาปีที่ 1/2</t>
  </si>
  <si>
    <t>ชั้นประถมศึกษาปีที่ 2/1</t>
  </si>
  <si>
    <t>ครูประจำชั้น ครูปฏิภาณ สมฟองทอง</t>
  </si>
  <si>
    <t>ครูประจำชั้น ครูภัณฑิรา เมืองปัญโญ</t>
  </si>
  <si>
    <t>ครูประจำชั้น ครูฐิตาภรณ์ สายอิ่นแก้ว</t>
  </si>
  <si>
    <t>ครูประจำชั้น ครูชานนท์ จันต๊ะคาด</t>
  </si>
  <si>
    <t>ชั้นประถมศึกษาปีที่ 3/1</t>
  </si>
  <si>
    <t>ชั้นประถมศึกษาปีที่ 2/3</t>
  </si>
  <si>
    <t>ชั้นประถมศึกษาปีที่ 2/2</t>
  </si>
  <si>
    <t>ซูช่า</t>
  </si>
  <si>
    <t>ชั้นประถมศึกษาปีที่ 3/2</t>
  </si>
  <si>
    <t>ชั้นประถมศึกษาปีที่ 4/1</t>
  </si>
  <si>
    <t>ชั้นประถมศึกษาปีที่ 4/2</t>
  </si>
  <si>
    <t>ชั้นประถมศึกษาปีที่ 5/1</t>
  </si>
  <si>
    <t>ชั้นประถมศึกษาปีที่ 6/1</t>
  </si>
  <si>
    <t>ชั้นประถมศึกษาปีที่ 6/2</t>
  </si>
  <si>
    <t>ชั้นประถมศึกษาปีที่ 5/2</t>
  </si>
  <si>
    <t>ป.5/2  ย้ายออก รร.ห้วยผึ้ง 12-05-59</t>
  </si>
  <si>
    <t>ชั้นมัธยมศึกษาปีที่ 1/1</t>
  </si>
  <si>
    <t>ชั้นมัธยมศึกษาปีที่ 1/2</t>
  </si>
  <si>
    <t>ชั้นมัธยมศึกษาปีที่ 2</t>
  </si>
  <si>
    <t>ชั้นมัธยมศึกษาปีที่ 3</t>
  </si>
  <si>
    <t xml:space="preserve">ธนวัฒน์ </t>
  </si>
  <si>
    <t xml:space="preserve">คิรากร </t>
  </si>
  <si>
    <t xml:space="preserve">ธนภัทร </t>
  </si>
  <si>
    <t xml:space="preserve">จะลอแส </t>
  </si>
  <si>
    <t xml:space="preserve">ย่าโบซือ </t>
  </si>
  <si>
    <t xml:space="preserve">จะส้อ </t>
  </si>
  <si>
    <t xml:space="preserve">จะดอวิ </t>
  </si>
  <si>
    <t xml:space="preserve">ธงชัย </t>
  </si>
  <si>
    <t xml:space="preserve">ไอรีณ </t>
  </si>
  <si>
    <t xml:space="preserve">นันทิภาคย์ </t>
  </si>
  <si>
    <t xml:space="preserve">กัญญา </t>
  </si>
  <si>
    <t>อัจฉริสา</t>
  </si>
  <si>
    <t xml:space="preserve"> แซ่จัง</t>
  </si>
  <si>
    <t xml:space="preserve">มะสี่ละ </t>
  </si>
  <si>
    <t xml:space="preserve">มะสอคา </t>
  </si>
  <si>
    <t xml:space="preserve">นาโทซา </t>
  </si>
  <si>
    <t xml:space="preserve">มีโบวิ </t>
  </si>
  <si>
    <t xml:space="preserve">เยลามา </t>
  </si>
  <si>
    <t>ลาหู่เมอ</t>
  </si>
  <si>
    <t xml:space="preserve">อีและ </t>
  </si>
  <si>
    <t xml:space="preserve">วชิรพงศ์ </t>
  </si>
  <si>
    <t xml:space="preserve">วรินทร </t>
  </si>
  <si>
    <t xml:space="preserve">นิบูล </t>
  </si>
  <si>
    <t xml:space="preserve">นิธาน </t>
  </si>
  <si>
    <t xml:space="preserve">ดะวุฒิ </t>
  </si>
  <si>
    <t xml:space="preserve">จะสือติ </t>
  </si>
  <si>
    <t xml:space="preserve">จะสอ </t>
  </si>
  <si>
    <t xml:space="preserve">จะหย่อ </t>
  </si>
  <si>
    <t xml:space="preserve">ปิยะพล </t>
  </si>
  <si>
    <t xml:space="preserve">กัญญารัตน์ </t>
  </si>
  <si>
    <t xml:space="preserve">ธนิดา </t>
  </si>
  <si>
    <t xml:space="preserve">ขิหมี่ละ </t>
  </si>
  <si>
    <t>พายอกู่</t>
  </si>
  <si>
    <t xml:space="preserve">นาดอซาวิ </t>
  </si>
  <si>
    <t xml:space="preserve">มีวีแซ </t>
  </si>
  <si>
    <t xml:space="preserve">นีสี่วิ </t>
  </si>
  <si>
    <t xml:space="preserve">นาสือโบ </t>
  </si>
  <si>
    <t xml:space="preserve">เดือน </t>
  </si>
  <si>
    <t>ตาคำ</t>
  </si>
  <si>
    <t xml:space="preserve">ธนวรรธน์ </t>
  </si>
  <si>
    <t xml:space="preserve">สุรชัย </t>
  </si>
  <si>
    <t xml:space="preserve">นิธิป </t>
  </si>
  <si>
    <t xml:space="preserve">จะนู </t>
  </si>
  <si>
    <t xml:space="preserve">ยะอื่อ </t>
  </si>
  <si>
    <t xml:space="preserve">จะดาแส </t>
  </si>
  <si>
    <t xml:space="preserve">ทานตะวัน </t>
  </si>
  <si>
    <t>กุลธิดา</t>
  </si>
  <si>
    <t xml:space="preserve"> แซ่ล้อ</t>
  </si>
  <si>
    <t xml:space="preserve">ลลิลดา </t>
  </si>
  <si>
    <t>วรัญญา</t>
  </si>
  <si>
    <t xml:space="preserve"> เชอมือ</t>
  </si>
  <si>
    <t xml:space="preserve">คคนางค์ </t>
  </si>
  <si>
    <t>ลอชัง</t>
  </si>
  <si>
    <t xml:space="preserve">พิมพ์ใจ </t>
  </si>
  <si>
    <t xml:space="preserve">วิภาดา </t>
  </si>
  <si>
    <t>สีเตา</t>
  </si>
  <si>
    <t xml:space="preserve">ปีกีละ </t>
  </si>
  <si>
    <t xml:space="preserve">ลีเบ๊ะขะ </t>
  </si>
  <si>
    <t xml:space="preserve">นางะ </t>
  </si>
  <si>
    <t xml:space="preserve">นาทอ </t>
  </si>
  <si>
    <t xml:space="preserve">นะเผอะ </t>
  </si>
  <si>
    <t xml:space="preserve">ภาคิน </t>
  </si>
  <si>
    <t xml:space="preserve">จรณินท์ </t>
  </si>
  <si>
    <t xml:space="preserve">รวมพล </t>
  </si>
  <si>
    <t xml:space="preserve">เอกพล </t>
  </si>
  <si>
    <t xml:space="preserve">ป้อหลู่ </t>
  </si>
  <si>
    <t xml:space="preserve">มะซื่อต้า </t>
  </si>
  <si>
    <t xml:space="preserve">จิรเมธ </t>
  </si>
  <si>
    <t xml:space="preserve">เตชินท์ </t>
  </si>
  <si>
    <t>ล่าทวย</t>
  </si>
  <si>
    <t xml:space="preserve">อัญญา </t>
  </si>
  <si>
    <t xml:space="preserve">นลินนิภา </t>
  </si>
  <si>
    <t xml:space="preserve">ณดา </t>
  </si>
  <si>
    <t xml:space="preserve">พิมพ์ลภัส </t>
  </si>
  <si>
    <t xml:space="preserve">สุดา </t>
  </si>
  <si>
    <t>อวยแมกู่</t>
  </si>
  <si>
    <t xml:space="preserve">นาซือคา </t>
  </si>
  <si>
    <t xml:space="preserve">นาดะ </t>
  </si>
  <si>
    <t xml:space="preserve">ซือเหมย </t>
  </si>
  <si>
    <t xml:space="preserve">หมีจุม </t>
  </si>
  <si>
    <t>มาเยะ</t>
  </si>
  <si>
    <t>ห้อง</t>
  </si>
  <si>
    <t>ครูอัฐชาฎา หัสกิจ</t>
  </si>
  <si>
    <t>ครูภัณฑิรา เมืองปัญโญ</t>
  </si>
  <si>
    <t>ครูชานนท์ จันต๊ะคาด</t>
  </si>
  <si>
    <t>ครูสุจินดา ใจกล้า</t>
  </si>
  <si>
    <t>ครูเอกพงษ์ ใจต๊ะ</t>
  </si>
  <si>
    <t>ครูจารุกิตติ์ ยิ่งสมบูรณ์ชัย</t>
  </si>
  <si>
    <t>ครูศิรินกรณ์ สุยะ</t>
  </si>
  <si>
    <t>ครูฐิตาภรณ์ สายอิ่นแก้ว</t>
  </si>
  <si>
    <t>ครูพุฒิชัย ไฝเครือ</t>
  </si>
  <si>
    <t>ครูภาณุพงค์ ยาจันทร์</t>
  </si>
  <si>
    <t>ครูนิลาวรรณ สายพรหม</t>
  </si>
  <si>
    <t>ครูชาญณรงค์ โลดแจ้ง</t>
  </si>
  <si>
    <t>ครูสุรศักดิ์ เนตรทิพย์</t>
  </si>
  <si>
    <t>ครูปฏิภาณ สมฟองทอง</t>
  </si>
  <si>
    <t>ครููใหม่ / ครูเลอพงษ์ ปัญญาดี</t>
  </si>
  <si>
    <t>ครูกัญญาวีร์  เวียงมูล/ครูวิจิตรา เย็นจิตต์</t>
  </si>
  <si>
    <t>ครูประจำชั้น ครูสุจินดา ใจกล้า</t>
  </si>
  <si>
    <t>ครูประจำชั้น ครูพุฒิชัย ไฝเครือ</t>
  </si>
  <si>
    <t>ครูประจำชั้น ครููใหม่ / ครูเลอพงษ์ ปัญญาดี</t>
  </si>
  <si>
    <t>ครูประจำชั้น ครูภาณุพงค์ ยาจันทร์</t>
  </si>
  <si>
    <t>ครูประจำชั้น ครูกัญญาวีร์  เวียงมูล/ครูวิจิตรา เย็นจิตต์</t>
  </si>
  <si>
    <t>ครูประจำชั้น ครูนิลาวรรณ สายพรหม</t>
  </si>
  <si>
    <t>ครูประจำชั้น ครูเอกพงษ์ ใจต๊ะ</t>
  </si>
  <si>
    <t>ครูประจำชั้น ครูชาญณรงค์ โลดแจ้ง</t>
  </si>
  <si>
    <t>ครูประจำชั้น ครูจารุกิตติ์ ยิ่งสมบูรณ์ชัย</t>
  </si>
  <si>
    <t>ครูประจำชั้น ครูสุรศักดิ์ เนตรทิพย์</t>
  </si>
  <si>
    <t>ครูขวัญชัย โกแสนตอ /ครูฉัตรดนัย ใยญาติ</t>
  </si>
  <si>
    <t>ครูประจำชั้น ครูขวัญชัย โกแสนตอ /ครูฉัตรดนัย ใยญาติ</t>
  </si>
  <si>
    <t>ครูกรกกฎ โรจนนิล/ครูณัฐพล เหม็งทะเหล็ก</t>
  </si>
  <si>
    <t>ครูประจำชั้น ครูกรกกฎ โรจนนิล/ครูณัฐพล เหม็งทะเหล็ก</t>
  </si>
  <si>
    <t>โบสถ์คริสต์</t>
  </si>
  <si>
    <t>จัดนักเรียนเข้าชั้น ใส่ชื่อครูประจำชั้น</t>
  </si>
  <si>
    <t>ร่าง-รายชื่อนักเรียนปีการศึกษา 1/2569</t>
  </si>
  <si>
    <t>อรรัมภา</t>
  </si>
  <si>
    <t>บาหลา</t>
  </si>
  <si>
    <t>ชั้นอนุบาล 2/1</t>
  </si>
  <si>
    <t>ครูประจำชั้น ครูอนุบาลใหม่1</t>
  </si>
  <si>
    <t>ชั้นอนุบาล 2/2</t>
  </si>
  <si>
    <t>ครูประจำชั้น ครูศิรินกรณ์ สุยะ</t>
  </si>
  <si>
    <t>ชั้นอนุบาล 3/1</t>
  </si>
  <si>
    <t>ชั้นอนุบาล 3/2</t>
  </si>
  <si>
    <t>ครูประจำชั้น ครูอัฐชาฎา หัสกิจ</t>
  </si>
  <si>
    <t>ครูประจำชั้น ครูอนุบาลใหม่2</t>
  </si>
  <si>
    <t xml:space="preserve">แก้ไขชื่อ  ถูกภาคิน ป.1/1  (ผิดภาคิณ)  --&gt;ครูภัณฑิรา </t>
  </si>
  <si>
    <t>มานพ</t>
  </si>
  <si>
    <t>ยิ่งโชติ</t>
  </si>
  <si>
    <t>บุ้โซ</t>
  </si>
  <si>
    <t>นักเรียนใหม่  ย้ายมากจากด่านนอก สงขา</t>
  </si>
  <si>
    <t>G685700050476</t>
  </si>
  <si>
    <t>มณี</t>
  </si>
  <si>
    <t>ป.4/2</t>
  </si>
  <si>
    <t>วันที่ 18 พฤษภาคม 2569</t>
  </si>
  <si>
    <t>ยังไม่มา</t>
  </si>
  <si>
    <t>ไม่มา</t>
  </si>
  <si>
    <t>ป.1/3 EP อบจ.</t>
  </si>
  <si>
    <t>ไม่แน่ใจ ไป แม่หม้อ</t>
  </si>
  <si>
    <t>**</t>
  </si>
  <si>
    <t>1579902008007</t>
  </si>
  <si>
    <t>ป.1/1</t>
  </si>
  <si>
    <t>ป.1/2</t>
  </si>
  <si>
    <t>ป.1/3</t>
  </si>
  <si>
    <t>ป.3/2</t>
  </si>
  <si>
    <t>ม.1/1</t>
  </si>
  <si>
    <t>1571500119851</t>
  </si>
  <si>
    <t>ห้อง 1</t>
  </si>
  <si>
    <t>ชาย</t>
  </si>
  <si>
    <t>หญิง</t>
  </si>
  <si>
    <t>รวม อ.2-อ3</t>
  </si>
  <si>
    <t>รวม ป.1-ป.3</t>
  </si>
  <si>
    <t>รวม ป.4-ป.6</t>
  </si>
  <si>
    <t>รวม ป.1-ป6</t>
  </si>
  <si>
    <t>รวม ม.1-3</t>
  </si>
  <si>
    <t>นักเรียนรวม</t>
  </si>
  <si>
    <t xml:space="preserve"> ไป แม่หม้อ</t>
  </si>
  <si>
    <t>ครูประจำชั้น ครูปรียานุช ปวนเปี้ย</t>
  </si>
  <si>
    <t>ครูประจำชั้น ครูอภิรักษ์  เทพอุดม</t>
  </si>
  <si>
    <t xml:space="preserve">รายชื่อนักเรียนปี ภาคเรียนที่ 2 การศึกษา 2569 </t>
  </si>
  <si>
    <t>เตชิต</t>
  </si>
  <si>
    <t>ผิด เตชิน  ถูก  เดชิต</t>
  </si>
  <si>
    <t>ออกไม่มาแล้ว</t>
  </si>
  <si>
    <t>วันที่ 21 พ.ค. 2569</t>
  </si>
  <si>
    <t>วันที่ 21 เดือน พฤษภาคม   พ.ศ .2568</t>
  </si>
  <si>
    <t>โบสถ์คริสต์ ไม่มากลับพม่า</t>
  </si>
  <si>
    <t>จะพือ(3)</t>
  </si>
  <si>
    <t>ป.2/1</t>
  </si>
  <si>
    <t>ลง DMC แล้ว</t>
  </si>
  <si>
    <t>1579901869815</t>
  </si>
  <si>
    <t>นักเรียนใหม่ ลง dmc แล้ว</t>
  </si>
  <si>
    <t>ย้าย ไตรมิตร</t>
  </si>
  <si>
    <t>มาเยอะ  ย้ายไป รร.ไตรมิตร</t>
  </si>
  <si>
    <t>นับ1-20</t>
  </si>
  <si>
    <t>ชอยคุย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</si>
</sst>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00###########"/>
    <numFmt numFmtId="188" formatCode="00000"/>
  </numFmts>
  <fonts count="52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2"/>
      <color rgb="FFFF0000"/>
      <name val="Arial"/>
      <scheme val="minor"/>
    </font>
    <font>
      <sz val="12"/>
      <color theme="1"/>
      <name val="Arial"/>
      <scheme val="minor"/>
    </font>
    <font>
      <sz val="10"/>
      <color rgb="FF000000"/>
      <name val="Arial"/>
      <scheme val="minor"/>
    </font>
    <font>
      <sz val="10"/>
      <color rgb="FFFF0000"/>
      <name val="Arial"/>
      <scheme val="minor"/>
    </font>
    <font>
      <sz val="16"/>
      <color rgb="FF000000"/>
      <name val="CordiaUPC"/>
    </font>
    <font>
      <b/>
      <sz val="16"/>
      <color rgb="FF000000"/>
      <name val="CordiaUPC"/>
    </font>
    <font>
      <sz val="16"/>
      <color rgb="FFFF0000"/>
      <name val="CordiaUPC"/>
    </font>
    <font>
      <sz val="10"/>
      <color theme="1"/>
      <name val="Arial"/>
    </font>
    <font>
      <sz val="10"/>
      <color rgb="FFFF0000"/>
      <name val="Arial"/>
    </font>
    <font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B050"/>
      <name val="Arial"/>
      <family val="2"/>
      <scheme val="minor"/>
    </font>
    <font>
      <sz val="16"/>
      <color rgb="FFFF0000"/>
      <name val="CordiaUPC"/>
      <family val="2"/>
    </font>
    <font>
      <b/>
      <sz val="11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8"/>
      <color rgb="FFC00000"/>
      <name val="TH SarabunPSK"/>
      <family val="2"/>
    </font>
    <font>
      <b/>
      <sz val="16"/>
      <color rgb="FFC00000"/>
      <name val="TH SarabunPSK"/>
      <family val="2"/>
    </font>
    <font>
      <sz val="10"/>
      <color rgb="FFC00000"/>
      <name val="Arial"/>
      <scheme val="minor"/>
    </font>
    <font>
      <b/>
      <sz val="16"/>
      <color rgb="FFC00000"/>
      <name val="TH SarabunPSK"/>
      <family val="2"/>
      <charset val="222"/>
    </font>
    <font>
      <b/>
      <sz val="14"/>
      <color rgb="FFC00000"/>
      <name val="TH SarabunPSK"/>
      <family val="2"/>
    </font>
    <font>
      <b/>
      <sz val="12"/>
      <color rgb="FFC00000"/>
      <name val="TH SarabunPSK"/>
      <family val="2"/>
    </font>
    <font>
      <b/>
      <sz val="16"/>
      <color rgb="FFFF0000"/>
      <name val="TH SarabunPSK"/>
      <family val="2"/>
    </font>
    <font>
      <sz val="8"/>
      <name val="Arial"/>
      <family val="2"/>
      <scheme val="minor"/>
    </font>
    <font>
      <sz val="11"/>
      <name val="Arial"/>
      <family val="2"/>
      <scheme val="minor"/>
    </font>
    <font>
      <b/>
      <sz val="11"/>
      <name val="TH SarabunPSK"/>
      <family val="2"/>
    </font>
    <font>
      <sz val="10"/>
      <color theme="5"/>
      <name val="Arial"/>
      <family val="2"/>
      <scheme val="minor"/>
    </font>
    <font>
      <b/>
      <sz val="11"/>
      <color theme="5"/>
      <name val="TH SarabunPSK"/>
      <family val="2"/>
    </font>
    <font>
      <sz val="11"/>
      <color theme="5"/>
      <name val="Arial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sz val="10"/>
      <color rgb="FF000000"/>
      <name val="Arial"/>
      <family val="2"/>
    </font>
    <font>
      <b/>
      <sz val="18"/>
      <name val="TH SarabunPSK"/>
      <family val="2"/>
    </font>
    <font>
      <sz val="10"/>
      <name val="Arial"/>
      <scheme val="minor"/>
    </font>
    <font>
      <b/>
      <sz val="16"/>
      <name val="TH SarabunPSK"/>
      <family val="2"/>
      <charset val="222"/>
    </font>
    <font>
      <b/>
      <sz val="16"/>
      <name val="TH SarabunPSK"/>
      <family val="2"/>
    </font>
    <font>
      <b/>
      <sz val="14"/>
      <name val="TH SarabunPSK"/>
      <family val="2"/>
    </font>
    <font>
      <sz val="11"/>
      <name val="Arial"/>
      <family val="2"/>
    </font>
    <font>
      <sz val="11"/>
      <name val="Cambria"/>
      <family val="1"/>
    </font>
    <font>
      <b/>
      <sz val="14"/>
      <color rgb="FFFF0000"/>
      <name val="TH SarabunPSK"/>
      <family val="2"/>
    </font>
  </fonts>
  <fills count="33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rgb="FF8ED973"/>
        <bgColor rgb="FF8ED973"/>
      </patternFill>
    </fill>
    <fill>
      <patternFill patternType="solid">
        <fgColor rgb="FFB5E6A2"/>
        <bgColor rgb="FFB5E6A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FFF2CC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rgb="FFD8D8D8"/>
      </patternFill>
    </fill>
    <fill>
      <patternFill patternType="solid">
        <fgColor theme="5" tint="0.79998168889431442"/>
        <bgColor rgb="FFF2F2F2"/>
      </patternFill>
    </fill>
    <fill>
      <patternFill patternType="solid">
        <fgColor theme="3" tint="0.89999084444715716"/>
        <bgColor rgb="FFDAEEF3"/>
      </patternFill>
    </fill>
    <fill>
      <patternFill patternType="solid">
        <fgColor theme="5" tint="0.79998168889431442"/>
        <bgColor rgb="FFDAEEF3"/>
      </patternFill>
    </fill>
    <fill>
      <patternFill patternType="solid">
        <fgColor theme="3" tint="0.749992370372631"/>
        <bgColor rgb="FFFFFFFF"/>
      </patternFill>
    </fill>
    <fill>
      <patternFill patternType="solid">
        <fgColor theme="5" tint="0.79998168889431442"/>
        <bgColor rgb="FFD8D8D8"/>
      </patternFill>
    </fill>
    <fill>
      <patternFill patternType="solid">
        <fgColor theme="3" tint="0.89999084444715716"/>
        <bgColor rgb="FFFABF8F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rgb="FF00B050"/>
      </patternFill>
    </fill>
    <fill>
      <patternFill patternType="solid">
        <fgColor theme="0"/>
        <bgColor rgb="FFA5A5A5"/>
      </patternFill>
    </fill>
    <fill>
      <patternFill patternType="solid">
        <fgColor theme="0" tint="-0.249977111117893"/>
        <bgColor rgb="FFDAEEF3"/>
      </patternFill>
    </fill>
    <fill>
      <patternFill patternType="solid">
        <fgColor theme="0" tint="-0.249977111117893"/>
        <bgColor rgb="FFFABF8F"/>
      </patternFill>
    </fill>
    <fill>
      <patternFill patternType="solid">
        <fgColor theme="0" tint="-0.249977111117893"/>
        <bgColor rgb="FF00B050"/>
      </patternFill>
    </fill>
    <fill>
      <patternFill patternType="solid">
        <fgColor theme="0" tint="-0.249977111117893"/>
        <bgColor rgb="FFBFBFBF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2">
    <xf numFmtId="0" fontId="0" fillId="0" borderId="0"/>
    <xf numFmtId="0" fontId="34" fillId="0" borderId="0"/>
  </cellStyleXfs>
  <cellXfs count="27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14" fontId="1" fillId="0" borderId="0" xfId="0" applyNumberFormat="1" applyFont="1"/>
    <xf numFmtId="0" fontId="5" fillId="0" borderId="0" xfId="0" applyFont="1"/>
    <xf numFmtId="0" fontId="6" fillId="3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8" fillId="0" borderId="1" xfId="0" applyFont="1" applyBorder="1" applyAlignment="1">
      <alignment horizontal="right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8" fillId="6" borderId="1" xfId="0" applyFont="1" applyFill="1" applyBorder="1" applyAlignment="1">
      <alignment horizontal="right"/>
    </xf>
    <xf numFmtId="0" fontId="8" fillId="6" borderId="4" xfId="0" applyFont="1" applyFill="1" applyBorder="1" applyAlignment="1">
      <alignment horizontal="left"/>
    </xf>
    <xf numFmtId="0" fontId="8" fillId="6" borderId="5" xfId="0" applyFont="1" applyFill="1" applyBorder="1" applyAlignment="1">
      <alignment horizontal="left"/>
    </xf>
    <xf numFmtId="0" fontId="8" fillId="7" borderId="6" xfId="0" applyFont="1" applyFill="1" applyBorder="1" applyAlignment="1">
      <alignment horizontal="right"/>
    </xf>
    <xf numFmtId="0" fontId="8" fillId="7" borderId="7" xfId="0" applyFont="1" applyFill="1" applyBorder="1" applyAlignment="1">
      <alignment horizontal="left"/>
    </xf>
    <xf numFmtId="0" fontId="8" fillId="7" borderId="8" xfId="0" applyFont="1" applyFill="1" applyBorder="1" applyAlignment="1">
      <alignment horizontal="left"/>
    </xf>
    <xf numFmtId="0" fontId="8" fillId="7" borderId="1" xfId="0" applyFont="1" applyFill="1" applyBorder="1" applyAlignment="1">
      <alignment horizontal="right"/>
    </xf>
    <xf numFmtId="0" fontId="8" fillId="7" borderId="4" xfId="0" applyFont="1" applyFill="1" applyBorder="1" applyAlignment="1">
      <alignment horizontal="left"/>
    </xf>
    <xf numFmtId="0" fontId="8" fillId="7" borderId="5" xfId="0" applyFont="1" applyFill="1" applyBorder="1" applyAlignment="1">
      <alignment horizontal="left"/>
    </xf>
    <xf numFmtId="0" fontId="8" fillId="0" borderId="6" xfId="0" applyFont="1" applyBorder="1" applyAlignment="1">
      <alignment horizontal="right"/>
    </xf>
    <xf numFmtId="0" fontId="8" fillId="6" borderId="6" xfId="0" applyFont="1" applyFill="1" applyBorder="1" applyAlignment="1">
      <alignment horizontal="right"/>
    </xf>
    <xf numFmtId="0" fontId="8" fillId="6" borderId="7" xfId="0" applyFont="1" applyFill="1" applyBorder="1" applyAlignment="1">
      <alignment horizontal="left"/>
    </xf>
    <xf numFmtId="0" fontId="8" fillId="6" borderId="8" xfId="0" applyFont="1" applyFill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8" fillId="0" borderId="11" xfId="0" applyFont="1" applyBorder="1" applyAlignment="1">
      <alignment horizontal="right"/>
    </xf>
    <xf numFmtId="187" fontId="8" fillId="0" borderId="11" xfId="0" applyNumberFormat="1" applyFont="1" applyBorder="1" applyAlignment="1">
      <alignment horizontal="right"/>
    </xf>
    <xf numFmtId="0" fontId="8" fillId="0" borderId="12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11" fillId="0" borderId="0" xfId="0" applyFont="1" applyAlignment="1">
      <alignment horizontal="right"/>
    </xf>
    <xf numFmtId="187" fontId="11" fillId="0" borderId="0" xfId="0" applyNumberFormat="1" applyFont="1" applyAlignment="1">
      <alignment horizontal="right"/>
    </xf>
    <xf numFmtId="0" fontId="11" fillId="0" borderId="0" xfId="0" applyFont="1"/>
    <xf numFmtId="0" fontId="12" fillId="0" borderId="0" xfId="0" applyFont="1" applyAlignment="1">
      <alignment horizontal="right"/>
    </xf>
    <xf numFmtId="0" fontId="12" fillId="0" borderId="0" xfId="0" applyFont="1"/>
    <xf numFmtId="0" fontId="9" fillId="7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7" borderId="6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10" fillId="0" borderId="1" xfId="0" applyFont="1" applyBorder="1" applyAlignment="1">
      <alignment horizontal="right"/>
    </xf>
    <xf numFmtId="0" fontId="10" fillId="0" borderId="4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3" fillId="0" borderId="0" xfId="0" applyFont="1"/>
    <xf numFmtId="187" fontId="10" fillId="0" borderId="1" xfId="0" applyNumberFormat="1" applyFont="1" applyBorder="1" applyAlignment="1">
      <alignment horizontal="center"/>
    </xf>
    <xf numFmtId="14" fontId="0" fillId="0" borderId="0" xfId="0" applyNumberFormat="1"/>
    <xf numFmtId="0" fontId="15" fillId="0" borderId="0" xfId="0" applyFont="1" applyAlignment="1">
      <alignment horizontal="center"/>
    </xf>
    <xf numFmtId="0" fontId="14" fillId="8" borderId="15" xfId="0" applyFont="1" applyFill="1" applyBorder="1"/>
    <xf numFmtId="0" fontId="14" fillId="9" borderId="15" xfId="0" applyFont="1" applyFill="1" applyBorder="1"/>
    <xf numFmtId="0" fontId="14" fillId="11" borderId="15" xfId="0" applyFont="1" applyFill="1" applyBorder="1"/>
    <xf numFmtId="0" fontId="4" fillId="0" borderId="0" xfId="0" applyFont="1"/>
    <xf numFmtId="0" fontId="1" fillId="0" borderId="0" xfId="0" applyFont="1" applyAlignment="1">
      <alignment horizontal="right"/>
    </xf>
    <xf numFmtId="0" fontId="16" fillId="0" borderId="0" xfId="0" applyFont="1"/>
    <xf numFmtId="0" fontId="0" fillId="12" borderId="0" xfId="0" applyFill="1"/>
    <xf numFmtId="0" fontId="1" fillId="12" borderId="0" xfId="0" applyFont="1" applyFill="1"/>
    <xf numFmtId="0" fontId="1" fillId="12" borderId="0" xfId="0" applyFont="1" applyFill="1" applyAlignment="1">
      <alignment horizontal="right"/>
    </xf>
    <xf numFmtId="0" fontId="17" fillId="0" borderId="4" xfId="0" applyFont="1" applyBorder="1" applyAlignment="1">
      <alignment horizontal="left"/>
    </xf>
    <xf numFmtId="0" fontId="14" fillId="13" borderId="15" xfId="0" applyFont="1" applyFill="1" applyBorder="1"/>
    <xf numFmtId="0" fontId="14" fillId="14" borderId="15" xfId="0" applyFont="1" applyFill="1" applyBorder="1"/>
    <xf numFmtId="0" fontId="20" fillId="2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0" fontId="22" fillId="0" borderId="0" xfId="0" applyFont="1" applyAlignment="1">
      <alignment vertical="center"/>
    </xf>
    <xf numFmtId="0" fontId="23" fillId="0" borderId="0" xfId="0" applyFont="1"/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2" fillId="0" borderId="0" xfId="0" applyFont="1" applyAlignment="1">
      <alignment horizontal="left" vertical="center" shrinkToFit="1"/>
    </xf>
    <xf numFmtId="0" fontId="25" fillId="0" borderId="0" xfId="0" applyFont="1" applyAlignment="1">
      <alignment horizontal="right" vertical="center" indent="1" shrinkToFit="1"/>
    </xf>
    <xf numFmtId="0" fontId="22" fillId="0" borderId="14" xfId="0" applyFont="1" applyBorder="1" applyAlignment="1">
      <alignment horizontal="center" vertical="center" shrinkToFit="1"/>
    </xf>
    <xf numFmtId="188" fontId="22" fillId="0" borderId="14" xfId="0" applyNumberFormat="1" applyFont="1" applyBorder="1" applyAlignment="1">
      <alignment horizontal="center" vertical="center" shrinkToFit="1"/>
    </xf>
    <xf numFmtId="0" fontId="22" fillId="0" borderId="14" xfId="0" applyFont="1" applyBorder="1" applyAlignment="1">
      <alignment vertical="center"/>
    </xf>
    <xf numFmtId="0" fontId="22" fillId="0" borderId="14" xfId="0" applyFont="1" applyBorder="1" applyAlignment="1">
      <alignment horizontal="center" vertical="center"/>
    </xf>
    <xf numFmtId="187" fontId="22" fillId="0" borderId="14" xfId="0" applyNumberFormat="1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4" xfId="0" applyFont="1" applyBorder="1" applyAlignment="1">
      <alignment vertical="center" wrapText="1"/>
    </xf>
    <xf numFmtId="0" fontId="26" fillId="0" borderId="14" xfId="0" applyFont="1" applyBorder="1" applyAlignment="1">
      <alignment vertical="center"/>
    </xf>
    <xf numFmtId="0" fontId="22" fillId="0" borderId="14" xfId="0" applyFont="1" applyBorder="1" applyAlignment="1">
      <alignment vertical="center" shrinkToFit="1"/>
    </xf>
    <xf numFmtId="187" fontId="22" fillId="0" borderId="14" xfId="0" quotePrefix="1" applyNumberFormat="1" applyFont="1" applyBorder="1" applyAlignment="1">
      <alignment horizontal="center" vertical="center" wrapText="1"/>
    </xf>
    <xf numFmtId="187" fontId="22" fillId="0" borderId="14" xfId="0" applyNumberFormat="1" applyFont="1" applyBorder="1" applyAlignment="1">
      <alignment horizontal="center" vertical="center" shrinkToFit="1"/>
    </xf>
    <xf numFmtId="187" fontId="24" fillId="0" borderId="14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 wrapText="1"/>
    </xf>
    <xf numFmtId="0" fontId="24" fillId="0" borderId="14" xfId="0" applyFont="1" applyBorder="1" applyAlignment="1">
      <alignment vertical="center"/>
    </xf>
    <xf numFmtId="188" fontId="24" fillId="0" borderId="14" xfId="0" quotePrefix="1" applyNumberFormat="1" applyFont="1" applyBorder="1" applyAlignment="1">
      <alignment horizontal="center" vertical="center"/>
    </xf>
    <xf numFmtId="188" fontId="24" fillId="0" borderId="14" xfId="0" applyNumberFormat="1" applyFont="1" applyBorder="1" applyAlignment="1">
      <alignment horizontal="center" vertical="center"/>
    </xf>
    <xf numFmtId="0" fontId="26" fillId="0" borderId="14" xfId="0" applyFont="1" applyBorder="1" applyAlignment="1">
      <alignment vertical="center" shrinkToFit="1"/>
    </xf>
    <xf numFmtId="0" fontId="26" fillId="0" borderId="14" xfId="0" applyFont="1" applyBorder="1" applyAlignment="1">
      <alignment horizontal="center" vertical="center" shrinkToFit="1"/>
    </xf>
    <xf numFmtId="0" fontId="22" fillId="0" borderId="14" xfId="0" quotePrefix="1" applyFont="1" applyBorder="1" applyAlignment="1">
      <alignment horizontal="right" vertical="center"/>
    </xf>
    <xf numFmtId="0" fontId="22" fillId="0" borderId="14" xfId="0" applyFont="1" applyBorder="1" applyAlignment="1">
      <alignment horizontal="left" vertical="center" wrapText="1"/>
    </xf>
    <xf numFmtId="0" fontId="25" fillId="0" borderId="14" xfId="0" applyFont="1" applyBorder="1" applyAlignment="1">
      <alignment vertical="center"/>
    </xf>
    <xf numFmtId="0" fontId="22" fillId="0" borderId="0" xfId="0" applyFont="1" applyAlignment="1">
      <alignment horizontal="center" vertical="center" shrinkToFit="1"/>
    </xf>
    <xf numFmtId="188" fontId="22" fillId="0" borderId="0" xfId="0" applyNumberFormat="1" applyFont="1" applyAlignment="1">
      <alignment horizontal="center" vertical="center" shrinkToFit="1"/>
    </xf>
    <xf numFmtId="0" fontId="22" fillId="0" borderId="0" xfId="0" applyFont="1" applyAlignment="1">
      <alignment vertical="center" shrinkToFit="1"/>
    </xf>
    <xf numFmtId="0" fontId="22" fillId="0" borderId="14" xfId="0" applyFont="1" applyBorder="1" applyAlignment="1">
      <alignment horizontal="left" vertical="center" shrinkToFit="1"/>
    </xf>
    <xf numFmtId="0" fontId="24" fillId="0" borderId="14" xfId="0" applyFont="1" applyBorder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187" fontId="22" fillId="0" borderId="0" xfId="0" applyNumberFormat="1" applyFont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187" fontId="22" fillId="0" borderId="0" xfId="0" quotePrefix="1" applyNumberFormat="1" applyFont="1" applyAlignment="1">
      <alignment horizontal="center" vertical="center" wrapText="1"/>
    </xf>
    <xf numFmtId="0" fontId="25" fillId="0" borderId="0" xfId="0" applyFont="1" applyAlignment="1">
      <alignment vertical="center"/>
    </xf>
    <xf numFmtId="188" fontId="24" fillId="0" borderId="0" xfId="0" quotePrefix="1" applyNumberFormat="1" applyFont="1" applyAlignment="1">
      <alignment horizontal="center" vertical="center"/>
    </xf>
    <xf numFmtId="188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2" fillId="0" borderId="0" xfId="0" applyFont="1" applyAlignment="1">
      <alignment horizontal="right" vertical="center" shrinkToFit="1"/>
    </xf>
    <xf numFmtId="0" fontId="22" fillId="0" borderId="0" xfId="0" quotePrefix="1" applyFont="1" applyAlignment="1">
      <alignment horizontal="right" vertical="center"/>
    </xf>
    <xf numFmtId="0" fontId="22" fillId="0" borderId="14" xfId="0" applyFont="1" applyBorder="1" applyAlignment="1">
      <alignment horizontal="right" vertical="center" shrinkToFit="1"/>
    </xf>
    <xf numFmtId="0" fontId="22" fillId="0" borderId="14" xfId="0" applyFont="1" applyBorder="1" applyAlignment="1">
      <alignment horizontal="right" vertical="center"/>
    </xf>
    <xf numFmtId="0" fontId="27" fillId="0" borderId="14" xfId="0" applyFont="1" applyBorder="1" applyAlignment="1">
      <alignment horizontal="left" vertical="center" wrapText="1"/>
    </xf>
    <xf numFmtId="0" fontId="22" fillId="16" borderId="14" xfId="0" applyFont="1" applyFill="1" applyBorder="1" applyAlignment="1">
      <alignment horizontal="left" vertical="center" wrapText="1"/>
    </xf>
    <xf numFmtId="0" fontId="22" fillId="16" borderId="14" xfId="0" applyFont="1" applyFill="1" applyBorder="1" applyAlignment="1">
      <alignment vertical="center" shrinkToFit="1"/>
    </xf>
    <xf numFmtId="0" fontId="22" fillId="16" borderId="14" xfId="0" applyFont="1" applyFill="1" applyBorder="1" applyAlignment="1">
      <alignment horizontal="left" vertical="center" shrinkToFit="1"/>
    </xf>
    <xf numFmtId="0" fontId="22" fillId="0" borderId="17" xfId="0" applyFont="1" applyBorder="1" applyAlignment="1">
      <alignment horizontal="left" vertical="center" wrapText="1"/>
    </xf>
    <xf numFmtId="49" fontId="13" fillId="0" borderId="0" xfId="0" applyNumberFormat="1" applyFont="1"/>
    <xf numFmtId="0" fontId="22" fillId="0" borderId="18" xfId="0" applyFont="1" applyBorder="1" applyAlignment="1">
      <alignment horizontal="left" vertical="center" wrapText="1"/>
    </xf>
    <xf numFmtId="0" fontId="29" fillId="0" borderId="0" xfId="0" applyFont="1"/>
    <xf numFmtId="0" fontId="30" fillId="0" borderId="0" xfId="0" applyFont="1" applyAlignment="1">
      <alignment horizontal="left" vertical="center" shrinkToFit="1"/>
    </xf>
    <xf numFmtId="0" fontId="30" fillId="0" borderId="0" xfId="0" applyFont="1" applyAlignment="1">
      <alignment horizontal="left" vertical="center" wrapText="1"/>
    </xf>
    <xf numFmtId="0" fontId="30" fillId="0" borderId="0" xfId="0" applyFont="1" applyAlignment="1">
      <alignment vertical="center"/>
    </xf>
    <xf numFmtId="0" fontId="31" fillId="0" borderId="0" xfId="0" applyFont="1"/>
    <xf numFmtId="49" fontId="31" fillId="0" borderId="0" xfId="0" applyNumberFormat="1" applyFont="1"/>
    <xf numFmtId="0" fontId="0" fillId="0" borderId="0" xfId="0" applyAlignment="1">
      <alignment horizontal="center"/>
    </xf>
    <xf numFmtId="0" fontId="34" fillId="0" borderId="0" xfId="1" applyAlignment="1">
      <alignment horizontal="center"/>
    </xf>
    <xf numFmtId="0" fontId="34" fillId="0" borderId="20" xfId="1" applyBorder="1" applyAlignment="1">
      <alignment horizontal="center"/>
    </xf>
    <xf numFmtId="0" fontId="36" fillId="17" borderId="14" xfId="1" applyFont="1" applyFill="1" applyBorder="1" applyAlignment="1">
      <alignment horizontal="right" vertical="center"/>
    </xf>
    <xf numFmtId="0" fontId="34" fillId="0" borderId="20" xfId="1" applyBorder="1" applyAlignment="1">
      <alignment horizontal="center" vertical="center"/>
    </xf>
    <xf numFmtId="0" fontId="35" fillId="0" borderId="16" xfId="1" applyFont="1" applyBorder="1"/>
    <xf numFmtId="0" fontId="37" fillId="0" borderId="16" xfId="1" applyFont="1" applyBorder="1" applyAlignment="1">
      <alignment horizontal="center"/>
    </xf>
    <xf numFmtId="0" fontId="35" fillId="0" borderId="28" xfId="1" applyFont="1" applyBorder="1"/>
    <xf numFmtId="0" fontId="35" fillId="0" borderId="14" xfId="1" applyFont="1" applyBorder="1"/>
    <xf numFmtId="0" fontId="37" fillId="0" borderId="14" xfId="1" applyFont="1" applyBorder="1"/>
    <xf numFmtId="0" fontId="35" fillId="0" borderId="29" xfId="1" applyFont="1" applyBorder="1"/>
    <xf numFmtId="0" fontId="37" fillId="0" borderId="28" xfId="1" applyFont="1" applyBorder="1" applyAlignment="1">
      <alignment horizontal="center"/>
    </xf>
    <xf numFmtId="0" fontId="38" fillId="19" borderId="16" xfId="1" applyFont="1" applyFill="1" applyBorder="1" applyAlignment="1">
      <alignment horizontal="right" vertical="center"/>
    </xf>
    <xf numFmtId="0" fontId="39" fillId="19" borderId="16" xfId="1" applyFont="1" applyFill="1" applyBorder="1" applyAlignment="1">
      <alignment horizontal="right" vertical="center"/>
    </xf>
    <xf numFmtId="0" fontId="39" fillId="20" borderId="0" xfId="1" applyFont="1" applyFill="1" applyAlignment="1">
      <alignment horizontal="right" vertical="center"/>
    </xf>
    <xf numFmtId="0" fontId="39" fillId="18" borderId="14" xfId="1" applyFont="1" applyFill="1" applyBorder="1" applyAlignment="1">
      <alignment horizontal="right" vertical="center"/>
    </xf>
    <xf numFmtId="0" fontId="40" fillId="21" borderId="20" xfId="1" applyFont="1" applyFill="1" applyBorder="1" applyAlignment="1">
      <alignment horizontal="center" vertical="center"/>
    </xf>
    <xf numFmtId="0" fontId="36" fillId="17" borderId="20" xfId="1" applyFont="1" applyFill="1" applyBorder="1" applyAlignment="1">
      <alignment horizontal="right" vertical="center"/>
    </xf>
    <xf numFmtId="0" fontId="36" fillId="22" borderId="20" xfId="1" applyFont="1" applyFill="1" applyBorder="1" applyAlignment="1">
      <alignment horizontal="right" vertical="center"/>
    </xf>
    <xf numFmtId="0" fontId="38" fillId="23" borderId="16" xfId="1" applyFont="1" applyFill="1" applyBorder="1" applyAlignment="1">
      <alignment horizontal="right" vertical="center"/>
    </xf>
    <xf numFmtId="0" fontId="34" fillId="24" borderId="20" xfId="1" applyFill="1" applyBorder="1" applyAlignment="1">
      <alignment horizontal="center"/>
    </xf>
    <xf numFmtId="0" fontId="38" fillId="17" borderId="20" xfId="1" applyFont="1" applyFill="1" applyBorder="1" applyAlignment="1">
      <alignment horizontal="right" vertical="center"/>
    </xf>
    <xf numFmtId="0" fontId="38" fillId="22" borderId="20" xfId="1" applyFont="1" applyFill="1" applyBorder="1" applyAlignment="1">
      <alignment horizontal="right" vertical="center"/>
    </xf>
    <xf numFmtId="0" fontId="34" fillId="24" borderId="20" xfId="1" applyFill="1" applyBorder="1" applyAlignment="1">
      <alignment horizontal="center" vertical="center"/>
    </xf>
    <xf numFmtId="0" fontId="40" fillId="24" borderId="20" xfId="1" applyFont="1" applyFill="1" applyBorder="1" applyAlignment="1">
      <alignment horizontal="center" vertical="center"/>
    </xf>
    <xf numFmtId="0" fontId="38" fillId="25" borderId="14" xfId="1" applyFont="1" applyFill="1" applyBorder="1" applyAlignment="1">
      <alignment horizontal="right" vertical="center"/>
    </xf>
    <xf numFmtId="0" fontId="40" fillId="24" borderId="0" xfId="1" applyFont="1" applyFill="1" applyAlignment="1">
      <alignment horizontal="center"/>
    </xf>
    <xf numFmtId="0" fontId="36" fillId="22" borderId="14" xfId="1" applyFont="1" applyFill="1" applyBorder="1" applyAlignment="1">
      <alignment horizontal="right" vertical="center"/>
    </xf>
    <xf numFmtId="0" fontId="36" fillId="8" borderId="0" xfId="1" applyFont="1" applyFill="1" applyAlignment="1">
      <alignment horizontal="right" vertical="center"/>
    </xf>
    <xf numFmtId="0" fontId="42" fillId="26" borderId="30" xfId="1" applyFont="1" applyFill="1" applyBorder="1" applyAlignment="1">
      <alignment horizontal="right" vertical="center"/>
    </xf>
    <xf numFmtId="0" fontId="43" fillId="0" borderId="31" xfId="0" applyFont="1" applyBorder="1" applyAlignment="1">
      <alignment wrapText="1"/>
    </xf>
    <xf numFmtId="0" fontId="31" fillId="0" borderId="14" xfId="0" applyFont="1" applyBorder="1"/>
    <xf numFmtId="0" fontId="32" fillId="0" borderId="14" xfId="0" applyFont="1" applyBorder="1" applyAlignment="1">
      <alignment horizontal="left" vertical="center" shrinkToFit="1"/>
    </xf>
    <xf numFmtId="0" fontId="32" fillId="0" borderId="14" xfId="0" applyFont="1" applyBorder="1" applyAlignment="1">
      <alignment horizontal="left" vertical="center" wrapText="1"/>
    </xf>
    <xf numFmtId="0" fontId="32" fillId="0" borderId="14" xfId="0" applyFont="1" applyBorder="1" applyAlignment="1">
      <alignment vertical="center"/>
    </xf>
    <xf numFmtId="0" fontId="33" fillId="0" borderId="14" xfId="0" applyFont="1" applyBorder="1"/>
    <xf numFmtId="49" fontId="31" fillId="0" borderId="14" xfId="0" applyNumberFormat="1" applyFont="1" applyBorder="1"/>
    <xf numFmtId="0" fontId="31" fillId="0" borderId="30" xfId="0" applyFont="1" applyBorder="1"/>
    <xf numFmtId="0" fontId="31" fillId="0" borderId="32" xfId="0" applyFont="1" applyBorder="1"/>
    <xf numFmtId="0" fontId="45" fillId="0" borderId="0" xfId="0" applyFont="1"/>
    <xf numFmtId="0" fontId="46" fillId="0" borderId="0" xfId="0" applyFont="1" applyAlignment="1">
      <alignment horizontal="center" vertical="center"/>
    </xf>
    <xf numFmtId="0" fontId="47" fillId="0" borderId="0" xfId="0" applyFont="1" applyAlignment="1">
      <alignment horizontal="left" vertical="center" shrinkToFit="1"/>
    </xf>
    <xf numFmtId="0" fontId="47" fillId="0" borderId="0" xfId="0" applyFont="1" applyAlignment="1">
      <alignment horizontal="center" vertical="center" shrinkToFit="1"/>
    </xf>
    <xf numFmtId="188" fontId="47" fillId="0" borderId="0" xfId="0" applyNumberFormat="1" applyFont="1" applyAlignment="1">
      <alignment horizontal="center" vertical="center" shrinkToFit="1"/>
    </xf>
    <xf numFmtId="0" fontId="47" fillId="0" borderId="0" xfId="0" applyFont="1" applyAlignment="1">
      <alignment vertical="center" shrinkToFit="1"/>
    </xf>
    <xf numFmtId="0" fontId="47" fillId="0" borderId="14" xfId="0" applyFont="1" applyBorder="1" applyAlignment="1">
      <alignment horizontal="center" vertical="center" shrinkToFit="1"/>
    </xf>
    <xf numFmtId="188" fontId="47" fillId="0" borderId="14" xfId="0" applyNumberFormat="1" applyFont="1" applyBorder="1" applyAlignment="1">
      <alignment horizontal="center" vertical="center" shrinkToFit="1"/>
    </xf>
    <xf numFmtId="0" fontId="47" fillId="0" borderId="14" xfId="0" applyFont="1" applyBorder="1" applyAlignment="1">
      <alignment vertical="center"/>
    </xf>
    <xf numFmtId="0" fontId="47" fillId="0" borderId="14" xfId="0" applyFont="1" applyBorder="1" applyAlignment="1">
      <alignment horizontal="center" vertical="center"/>
    </xf>
    <xf numFmtId="187" fontId="47" fillId="0" borderId="14" xfId="0" applyNumberFormat="1" applyFont="1" applyBorder="1" applyAlignment="1">
      <alignment horizontal="center" vertical="center" wrapText="1"/>
    </xf>
    <xf numFmtId="0" fontId="47" fillId="0" borderId="14" xfId="0" applyFont="1" applyBorder="1" applyAlignment="1">
      <alignment horizontal="left" vertical="center" wrapText="1"/>
    </xf>
    <xf numFmtId="0" fontId="48" fillId="0" borderId="14" xfId="0" applyFont="1" applyBorder="1" applyAlignment="1">
      <alignment vertical="center"/>
    </xf>
    <xf numFmtId="0" fontId="47" fillId="0" borderId="14" xfId="0" applyFont="1" applyBorder="1" applyAlignment="1">
      <alignment vertical="center" shrinkToFit="1"/>
    </xf>
    <xf numFmtId="187" fontId="47" fillId="0" borderId="14" xfId="0" quotePrefix="1" applyNumberFormat="1" applyFont="1" applyBorder="1" applyAlignment="1">
      <alignment horizontal="center" vertical="center" wrapText="1"/>
    </xf>
    <xf numFmtId="187" fontId="47" fillId="0" borderId="14" xfId="0" applyNumberFormat="1" applyFont="1" applyBorder="1" applyAlignment="1">
      <alignment horizontal="center" vertical="center" shrinkToFit="1"/>
    </xf>
    <xf numFmtId="0" fontId="47" fillId="0" borderId="14" xfId="0" applyFont="1" applyBorder="1" applyAlignment="1">
      <alignment horizontal="left" vertical="center" shrinkToFit="1"/>
    </xf>
    <xf numFmtId="0" fontId="47" fillId="8" borderId="14" xfId="0" applyFont="1" applyFill="1" applyBorder="1" applyAlignment="1">
      <alignment vertical="center" shrinkToFit="1"/>
    </xf>
    <xf numFmtId="0" fontId="47" fillId="10" borderId="14" xfId="0" applyFont="1" applyFill="1" applyBorder="1" applyAlignment="1">
      <alignment vertical="center" shrinkToFit="1"/>
    </xf>
    <xf numFmtId="187" fontId="46" fillId="0" borderId="14" xfId="0" applyNumberFormat="1" applyFont="1" applyBorder="1" applyAlignment="1">
      <alignment horizontal="center" vertical="center"/>
    </xf>
    <xf numFmtId="0" fontId="46" fillId="0" borderId="14" xfId="0" applyFont="1" applyBorder="1" applyAlignment="1">
      <alignment horizontal="left" vertical="center" wrapText="1"/>
    </xf>
    <xf numFmtId="0" fontId="46" fillId="0" borderId="14" xfId="0" applyFont="1" applyBorder="1" applyAlignment="1">
      <alignment vertical="center"/>
    </xf>
    <xf numFmtId="188" fontId="46" fillId="0" borderId="14" xfId="0" quotePrefix="1" applyNumberFormat="1" applyFont="1" applyBorder="1" applyAlignment="1">
      <alignment horizontal="center" vertical="center"/>
    </xf>
    <xf numFmtId="188" fontId="46" fillId="0" borderId="14" xfId="0" applyNumberFormat="1" applyFont="1" applyBorder="1" applyAlignment="1">
      <alignment horizontal="center" vertical="center"/>
    </xf>
    <xf numFmtId="0" fontId="46" fillId="0" borderId="14" xfId="0" applyFont="1" applyBorder="1" applyAlignment="1">
      <alignment horizontal="center" vertical="center" wrapText="1"/>
    </xf>
    <xf numFmtId="0" fontId="47" fillId="0" borderId="14" xfId="0" applyFont="1" applyBorder="1" applyAlignment="1">
      <alignment horizontal="right" vertical="center" shrinkToFit="1"/>
    </xf>
    <xf numFmtId="0" fontId="47" fillId="0" borderId="14" xfId="0" quotePrefix="1" applyFont="1" applyBorder="1" applyAlignment="1">
      <alignment horizontal="right" vertical="center"/>
    </xf>
    <xf numFmtId="0" fontId="49" fillId="0" borderId="16" xfId="0" applyFont="1" applyBorder="1" applyAlignment="1">
      <alignment horizontal="center" vertical="top" wrapText="1"/>
    </xf>
    <xf numFmtId="0" fontId="50" fillId="0" borderId="16" xfId="0" applyFont="1" applyBorder="1" applyAlignment="1">
      <alignment horizontal="left" vertical="top" wrapText="1"/>
    </xf>
    <xf numFmtId="0" fontId="49" fillId="0" borderId="16" xfId="0" applyFont="1" applyBorder="1" applyAlignment="1">
      <alignment horizontal="left" vertical="top" wrapText="1"/>
    </xf>
    <xf numFmtId="0" fontId="51" fillId="0" borderId="14" xfId="0" applyFont="1" applyBorder="1" applyAlignment="1">
      <alignment vertical="center"/>
    </xf>
    <xf numFmtId="0" fontId="27" fillId="0" borderId="14" xfId="0" applyFont="1" applyBorder="1" applyAlignment="1">
      <alignment vertical="center" shrinkToFit="1"/>
    </xf>
    <xf numFmtId="188" fontId="27" fillId="0" borderId="14" xfId="0" applyNumberFormat="1" applyFont="1" applyBorder="1" applyAlignment="1">
      <alignment horizontal="center" vertical="center"/>
    </xf>
    <xf numFmtId="188" fontId="27" fillId="0" borderId="14" xfId="0" quotePrefix="1" applyNumberFormat="1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187" fontId="27" fillId="0" borderId="14" xfId="0" applyNumberFormat="1" applyFont="1" applyBorder="1" applyAlignment="1">
      <alignment horizontal="center" vertical="center"/>
    </xf>
    <xf numFmtId="0" fontId="27" fillId="0" borderId="14" xfId="0" applyFont="1" applyBorder="1" applyAlignment="1">
      <alignment vertical="center"/>
    </xf>
    <xf numFmtId="0" fontId="39" fillId="27" borderId="16" xfId="1" applyFont="1" applyFill="1" applyBorder="1" applyAlignment="1">
      <alignment horizontal="right" vertical="center"/>
    </xf>
    <xf numFmtId="0" fontId="35" fillId="12" borderId="29" xfId="1" applyFont="1" applyFill="1" applyBorder="1" applyAlignment="1">
      <alignment horizontal="center"/>
    </xf>
    <xf numFmtId="0" fontId="35" fillId="12" borderId="28" xfId="1" applyFont="1" applyFill="1" applyBorder="1" applyAlignment="1">
      <alignment horizontal="center"/>
    </xf>
    <xf numFmtId="0" fontId="38" fillId="28" borderId="20" xfId="1" applyFont="1" applyFill="1" applyBorder="1" applyAlignment="1">
      <alignment horizontal="right" vertical="center"/>
    </xf>
    <xf numFmtId="0" fontId="36" fillId="29" borderId="14" xfId="1" applyFont="1" applyFill="1" applyBorder="1" applyAlignment="1">
      <alignment horizontal="right" vertical="center"/>
    </xf>
    <xf numFmtId="0" fontId="38" fillId="29" borderId="14" xfId="1" applyFont="1" applyFill="1" applyBorder="1" applyAlignment="1">
      <alignment horizontal="right" vertical="center"/>
    </xf>
    <xf numFmtId="0" fontId="38" fillId="30" borderId="14" xfId="1" applyFont="1" applyFill="1" applyBorder="1" applyAlignment="1">
      <alignment horizontal="right" vertical="center"/>
    </xf>
    <xf numFmtId="0" fontId="27" fillId="16" borderId="14" xfId="0" applyFont="1" applyFill="1" applyBorder="1" applyAlignment="1">
      <alignment horizontal="left" vertical="center" wrapText="1"/>
    </xf>
    <xf numFmtId="0" fontId="47" fillId="31" borderId="14" xfId="0" applyFont="1" applyFill="1" applyBorder="1" applyAlignment="1">
      <alignment horizontal="center" vertical="center" shrinkToFit="1"/>
    </xf>
    <xf numFmtId="187" fontId="47" fillId="31" borderId="14" xfId="0" applyNumberFormat="1" applyFont="1" applyFill="1" applyBorder="1" applyAlignment="1">
      <alignment horizontal="center" vertical="center" shrinkToFit="1"/>
    </xf>
    <xf numFmtId="0" fontId="47" fillId="31" borderId="14" xfId="0" applyFont="1" applyFill="1" applyBorder="1" applyAlignment="1">
      <alignment horizontal="left" vertical="center" wrapText="1"/>
    </xf>
    <xf numFmtId="0" fontId="48" fillId="31" borderId="14" xfId="0" applyFont="1" applyFill="1" applyBorder="1" applyAlignment="1">
      <alignment vertical="center"/>
    </xf>
    <xf numFmtId="0" fontId="47" fillId="31" borderId="14" xfId="0" applyFont="1" applyFill="1" applyBorder="1" applyAlignment="1">
      <alignment vertical="center" shrinkToFit="1"/>
    </xf>
    <xf numFmtId="0" fontId="27" fillId="32" borderId="14" xfId="0" applyFont="1" applyFill="1" applyBorder="1" applyAlignment="1">
      <alignment horizontal="center" vertical="center" shrinkToFit="1"/>
    </xf>
    <xf numFmtId="187" fontId="27" fillId="32" borderId="14" xfId="0" applyNumberFormat="1" applyFont="1" applyFill="1" applyBorder="1" applyAlignment="1">
      <alignment horizontal="center" vertical="center" shrinkToFit="1"/>
    </xf>
    <xf numFmtId="0" fontId="27" fillId="32" borderId="14" xfId="0" applyFont="1" applyFill="1" applyBorder="1" applyAlignment="1">
      <alignment horizontal="left" vertical="center" wrapText="1"/>
    </xf>
    <xf numFmtId="0" fontId="27" fillId="32" borderId="14" xfId="0" applyFont="1" applyFill="1" applyBorder="1" applyAlignment="1">
      <alignment vertical="center" shrinkToFit="1"/>
    </xf>
    <xf numFmtId="0" fontId="51" fillId="32" borderId="14" xfId="0" applyFont="1" applyFill="1" applyBorder="1" applyAlignment="1">
      <alignment vertical="center"/>
    </xf>
    <xf numFmtId="0" fontId="47" fillId="31" borderId="14" xfId="0" applyFont="1" applyFill="1" applyBorder="1" applyAlignment="1">
      <alignment horizontal="center" vertical="center"/>
    </xf>
    <xf numFmtId="187" fontId="47" fillId="31" borderId="14" xfId="0" applyNumberFormat="1" applyFont="1" applyFill="1" applyBorder="1" applyAlignment="1">
      <alignment horizontal="center" vertical="center" wrapText="1"/>
    </xf>
    <xf numFmtId="0" fontId="47" fillId="31" borderId="14" xfId="0" applyFont="1" applyFill="1" applyBorder="1" applyAlignment="1">
      <alignment horizontal="left" vertical="center" shrinkToFit="1"/>
    </xf>
    <xf numFmtId="187" fontId="47" fillId="31" borderId="14" xfId="0" quotePrefix="1" applyNumberFormat="1" applyFont="1" applyFill="1" applyBorder="1" applyAlignment="1">
      <alignment horizontal="center" vertical="center" wrapText="1"/>
    </xf>
    <xf numFmtId="187" fontId="27" fillId="0" borderId="14" xfId="0" applyNumberFormat="1" applyFont="1" applyBorder="1" applyAlignment="1">
      <alignment horizontal="center" vertical="center" wrapText="1"/>
    </xf>
    <xf numFmtId="0" fontId="27" fillId="10" borderId="14" xfId="0" applyFont="1" applyFill="1" applyBorder="1" applyAlignment="1">
      <alignment vertical="center" shrinkToFit="1"/>
    </xf>
    <xf numFmtId="0" fontId="24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shrinkToFit="1"/>
    </xf>
    <xf numFmtId="0" fontId="21" fillId="0" borderId="0" xfId="0" applyFont="1" applyAlignment="1">
      <alignment vertical="center"/>
    </xf>
    <xf numFmtId="0" fontId="22" fillId="0" borderId="0" xfId="0" applyFont="1" applyAlignment="1">
      <alignment horizontal="left" vertical="center" shrinkToFit="1"/>
    </xf>
    <xf numFmtId="0" fontId="25" fillId="0" borderId="0" xfId="0" applyFont="1" applyAlignment="1">
      <alignment horizontal="right" vertical="center" indent="1" shrinkToFit="1"/>
    </xf>
    <xf numFmtId="0" fontId="22" fillId="0" borderId="14" xfId="0" applyFont="1" applyBorder="1" applyAlignment="1">
      <alignment horizontal="center" vertical="center" shrinkToFit="1"/>
    </xf>
    <xf numFmtId="0" fontId="22" fillId="0" borderId="14" xfId="0" applyFont="1" applyBorder="1" applyAlignment="1">
      <alignment vertic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18" fillId="15" borderId="0" xfId="0" applyFont="1" applyFill="1" applyAlignment="1">
      <alignment horizontal="center"/>
    </xf>
    <xf numFmtId="0" fontId="19" fillId="15" borderId="0" xfId="0" applyFont="1" applyFill="1" applyAlignment="1">
      <alignment horizontal="center"/>
    </xf>
    <xf numFmtId="0" fontId="41" fillId="26" borderId="28" xfId="1" applyFont="1" applyFill="1" applyBorder="1" applyAlignment="1">
      <alignment horizontal="right" vertical="center"/>
    </xf>
    <xf numFmtId="0" fontId="36" fillId="8" borderId="29" xfId="1" applyFont="1" applyFill="1" applyBorder="1" applyAlignment="1">
      <alignment horizontal="right" vertical="center"/>
    </xf>
    <xf numFmtId="0" fontId="37" fillId="0" borderId="31" xfId="0" applyFont="1" applyBorder="1" applyAlignment="1">
      <alignment wrapText="1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4" fillId="0" borderId="20" xfId="1" applyBorder="1" applyAlignment="1">
      <alignment horizontal="center"/>
    </xf>
    <xf numFmtId="0" fontId="35" fillId="0" borderId="21" xfId="1" applyFont="1" applyBorder="1"/>
    <xf numFmtId="0" fontId="34" fillId="0" borderId="22" xfId="1" applyBorder="1" applyAlignment="1">
      <alignment horizontal="center"/>
    </xf>
    <xf numFmtId="0" fontId="34" fillId="0" borderId="23" xfId="1" applyBorder="1" applyAlignment="1">
      <alignment horizontal="center"/>
    </xf>
    <xf numFmtId="0" fontId="34" fillId="0" borderId="24" xfId="1" applyBorder="1" applyAlignment="1">
      <alignment horizontal="center"/>
    </xf>
    <xf numFmtId="0" fontId="35" fillId="0" borderId="22" xfId="1" applyFont="1" applyBorder="1" applyAlignment="1">
      <alignment horizontal="center"/>
    </xf>
    <xf numFmtId="0" fontId="35" fillId="0" borderId="23" xfId="1" applyFont="1" applyBorder="1" applyAlignment="1">
      <alignment horizontal="center"/>
    </xf>
    <xf numFmtId="0" fontId="35" fillId="0" borderId="24" xfId="1" applyFont="1" applyBorder="1" applyAlignment="1">
      <alignment horizontal="center"/>
    </xf>
    <xf numFmtId="0" fontId="35" fillId="12" borderId="25" xfId="1" applyFont="1" applyFill="1" applyBorder="1" applyAlignment="1">
      <alignment horizontal="center"/>
    </xf>
    <xf numFmtId="0" fontId="35" fillId="12" borderId="26" xfId="1" applyFont="1" applyFill="1" applyBorder="1" applyAlignment="1">
      <alignment horizontal="center"/>
    </xf>
    <xf numFmtId="0" fontId="37" fillId="18" borderId="27" xfId="1" applyFont="1" applyFill="1" applyBorder="1" applyAlignment="1">
      <alignment horizontal="center" vertical="center"/>
    </xf>
    <xf numFmtId="0" fontId="37" fillId="12" borderId="17" xfId="1" applyFont="1" applyFill="1" applyBorder="1"/>
    <xf numFmtId="0" fontId="44" fillId="0" borderId="0" xfId="0" applyFont="1" applyAlignment="1">
      <alignment horizontal="center" vertical="center" shrinkToFit="1"/>
    </xf>
    <xf numFmtId="0" fontId="44" fillId="0" borderId="0" xfId="0" applyFont="1" applyAlignment="1">
      <alignment vertical="center"/>
    </xf>
    <xf numFmtId="0" fontId="47" fillId="0" borderId="14" xfId="0" applyFont="1" applyBorder="1" applyAlignment="1">
      <alignment horizontal="center" vertical="center" shrinkToFit="1"/>
    </xf>
    <xf numFmtId="0" fontId="47" fillId="0" borderId="14" xfId="0" applyFont="1" applyBorder="1" applyAlignment="1">
      <alignment vertical="center"/>
    </xf>
    <xf numFmtId="0" fontId="47" fillId="0" borderId="0" xfId="0" applyFont="1" applyAlignment="1">
      <alignment horizontal="left" vertical="center" shrinkToFit="1"/>
    </xf>
    <xf numFmtId="0" fontId="48" fillId="0" borderId="0" xfId="0" applyFont="1" applyAlignment="1">
      <alignment horizontal="right" vertical="center" indent="1" shrinkToFit="1"/>
    </xf>
    <xf numFmtId="0" fontId="46" fillId="0" borderId="0" xfId="0" applyFont="1" applyAlignment="1">
      <alignment horizontal="center" vertical="center"/>
    </xf>
  </cellXfs>
  <cellStyles count="2">
    <cellStyle name="Normal" xfId="0" builtinId="0"/>
    <cellStyle name="ปกติ 2" xfId="1" xr:uid="{AE6F27CD-C935-4AAE-95D1-BE52D9DEF24A}"/>
  </cellStyles>
  <dxfs count="3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rt73.vichakan.net/sp-cri3/" TargetMode="External"/><Relationship Id="rId2" Type="http://schemas.openxmlformats.org/officeDocument/2006/relationships/hyperlink" Target="https://drive.google.com/drive/u/2/folders/18loU2-QbOvZi722j7CewxR6GyYJZHoSk" TargetMode="External"/><Relationship Id="rId1" Type="http://schemas.openxmlformats.org/officeDocument/2006/relationships/hyperlink" Target="https://docs.google.com/spreadsheets/d/15wSXchJU6FHen-VFOoQPwxwgfdORD6IqmBmJIoFg6ys/edit?gid=70784614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"/>
  <sheetViews>
    <sheetView workbookViewId="0"/>
  </sheetViews>
  <sheetFormatPr defaultColWidth="12.5703125" defaultRowHeight="15.75" customHeight="1" x14ac:dyDescent="0.2"/>
  <cols>
    <col min="1" max="1" width="6" customWidth="1"/>
    <col min="2" max="2" width="9.7109375" customWidth="1"/>
    <col min="3" max="3" width="39.28515625" customWidth="1"/>
    <col min="4" max="4" width="115.7109375" customWidth="1"/>
  </cols>
  <sheetData>
    <row r="1" spans="1:4" x14ac:dyDescent="0.2">
      <c r="B1" s="1" t="s">
        <v>0</v>
      </c>
      <c r="C1" s="1" t="s">
        <v>1</v>
      </c>
    </row>
    <row r="2" spans="1:4" x14ac:dyDescent="0.2">
      <c r="A2" s="1">
        <v>1</v>
      </c>
      <c r="C2" s="1" t="s">
        <v>2</v>
      </c>
      <c r="D2" s="2" t="s">
        <v>3</v>
      </c>
    </row>
    <row r="3" spans="1:4" x14ac:dyDescent="0.2">
      <c r="A3" s="1">
        <v>2</v>
      </c>
      <c r="C3" s="1" t="s">
        <v>4</v>
      </c>
      <c r="D3" s="3" t="s">
        <v>5</v>
      </c>
    </row>
    <row r="4" spans="1:4" x14ac:dyDescent="0.2">
      <c r="D4" s="1"/>
    </row>
    <row r="9" spans="1:4" x14ac:dyDescent="0.2">
      <c r="C9" s="1" t="s">
        <v>6</v>
      </c>
      <c r="D9" s="2" t="s">
        <v>7</v>
      </c>
    </row>
  </sheetData>
  <hyperlinks>
    <hyperlink ref="D2" r:id="rId1" location="gid=707846140" xr:uid="{00000000-0004-0000-0000-000000000000}"/>
    <hyperlink ref="D3" r:id="rId2" xr:uid="{00000000-0004-0000-0000-000001000000}"/>
    <hyperlink ref="D9" r:id="rId3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6"/>
  <sheetViews>
    <sheetView workbookViewId="0">
      <selection activeCell="B19" sqref="B19"/>
    </sheetView>
  </sheetViews>
  <sheetFormatPr defaultColWidth="12.5703125" defaultRowHeight="15.75" customHeight="1" x14ac:dyDescent="0.2"/>
  <cols>
    <col min="1" max="1" width="13.28515625" customWidth="1"/>
    <col min="2" max="2" width="90.140625" customWidth="1"/>
    <col min="3" max="3" width="3" customWidth="1"/>
  </cols>
  <sheetData>
    <row r="1" spans="1:3" ht="12.75" x14ac:dyDescent="0.2">
      <c r="A1" s="240" t="s">
        <v>8</v>
      </c>
      <c r="B1" s="241"/>
      <c r="C1" s="241"/>
    </row>
    <row r="2" spans="1:3" ht="12.75" x14ac:dyDescent="0.2">
      <c r="A2" s="5" t="s">
        <v>9</v>
      </c>
      <c r="B2" s="5" t="s">
        <v>10</v>
      </c>
      <c r="C2" s="5"/>
    </row>
    <row r="3" spans="1:3" ht="12.75" x14ac:dyDescent="0.2">
      <c r="A3" s="6">
        <v>244394</v>
      </c>
      <c r="B3" s="1" t="s">
        <v>11</v>
      </c>
    </row>
    <row r="4" spans="1:3" ht="12.75" x14ac:dyDescent="0.2">
      <c r="A4" s="6">
        <v>244401</v>
      </c>
      <c r="B4" s="1" t="s">
        <v>12</v>
      </c>
    </row>
    <row r="5" spans="1:3" ht="15.75" customHeight="1" x14ac:dyDescent="0.2">
      <c r="A5" s="59">
        <v>244481</v>
      </c>
      <c r="B5" s="57" t="s">
        <v>1032</v>
      </c>
    </row>
    <row r="6" spans="1:3" ht="15.75" customHeight="1" x14ac:dyDescent="0.2">
      <c r="A6" s="59">
        <v>244482</v>
      </c>
      <c r="B6" t="s">
        <v>1044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K35"/>
  <sheetViews>
    <sheetView zoomScaleNormal="100" workbookViewId="0">
      <selection activeCell="C36" sqref="C36"/>
    </sheetView>
  </sheetViews>
  <sheetFormatPr defaultColWidth="12.5703125" defaultRowHeight="15.75" customHeight="1" x14ac:dyDescent="0.2"/>
  <cols>
    <col min="1" max="1" width="23.7109375" customWidth="1"/>
    <col min="2" max="2" width="33.140625" customWidth="1"/>
    <col min="3" max="3" width="33.28515625" customWidth="1"/>
    <col min="4" max="4" width="30.7109375" customWidth="1"/>
    <col min="5" max="5" width="6" customWidth="1"/>
    <col min="6" max="6" width="4.140625" customWidth="1"/>
    <col min="7" max="7" width="5.140625" customWidth="1"/>
    <col min="8" max="8" width="7.28515625" customWidth="1"/>
  </cols>
  <sheetData>
    <row r="1" spans="1:11" ht="22.5" customHeight="1" x14ac:dyDescent="0.2">
      <c r="A1" s="1"/>
      <c r="B1" s="64" t="s">
        <v>13</v>
      </c>
      <c r="C1" s="1"/>
      <c r="D1" s="1"/>
      <c r="E1" s="1"/>
      <c r="F1" s="1"/>
      <c r="G1" s="1"/>
      <c r="H1" s="1"/>
    </row>
    <row r="2" spans="1:11" ht="16.5" customHeight="1" x14ac:dyDescent="0.2">
      <c r="B2" s="7"/>
      <c r="G2" s="1"/>
    </row>
    <row r="3" spans="1:11" ht="16.5" customHeight="1" x14ac:dyDescent="0.2">
      <c r="J3" s="1" t="s">
        <v>14</v>
      </c>
      <c r="K3" s="1" t="s">
        <v>15</v>
      </c>
    </row>
    <row r="4" spans="1:11" ht="21" customHeight="1" x14ac:dyDescent="0.25">
      <c r="A4" s="242" t="str" cm="1">
        <f t="array" ref="A4">'ป.1-ป.6'!A2:A2</f>
        <v>ร่าง-รายชื่อนักเรียนปีการศึกษา 1/2569</v>
      </c>
      <c r="B4" s="242"/>
      <c r="C4" s="242"/>
      <c r="D4" s="242"/>
      <c r="I4" s="65">
        <v>1</v>
      </c>
      <c r="J4" s="1" t="s">
        <v>16</v>
      </c>
      <c r="K4" s="8" t="s">
        <v>17</v>
      </c>
    </row>
    <row r="5" spans="1:11" ht="17.25" customHeight="1" x14ac:dyDescent="0.25">
      <c r="A5" s="243" t="s">
        <v>1052</v>
      </c>
      <c r="B5" s="243"/>
      <c r="C5" s="243"/>
      <c r="D5" s="243"/>
      <c r="I5" s="65">
        <v>2</v>
      </c>
      <c r="K5" s="9" t="s">
        <v>18</v>
      </c>
    </row>
    <row r="6" spans="1:11" ht="12.75" x14ac:dyDescent="0.2">
      <c r="I6" s="65">
        <v>3</v>
      </c>
      <c r="K6" s="9" t="s">
        <v>19</v>
      </c>
    </row>
    <row r="7" spans="1:11" ht="12.75" x14ac:dyDescent="0.2">
      <c r="A7" s="73" t="s">
        <v>20</v>
      </c>
      <c r="B7" s="4" t="s">
        <v>21</v>
      </c>
      <c r="C7" s="4" t="s">
        <v>22</v>
      </c>
      <c r="D7" s="4" t="s">
        <v>23</v>
      </c>
      <c r="I7" s="65">
        <v>4</v>
      </c>
      <c r="K7" s="9" t="s">
        <v>24</v>
      </c>
    </row>
    <row r="8" spans="1:11" ht="12.75" x14ac:dyDescent="0.2">
      <c r="A8" s="74" t="s">
        <v>25</v>
      </c>
      <c r="B8" s="71" t="s">
        <v>884</v>
      </c>
      <c r="C8" s="61" t="s">
        <v>1007</v>
      </c>
      <c r="D8" s="63"/>
      <c r="I8" s="65">
        <v>5</v>
      </c>
      <c r="K8" s="9" t="s">
        <v>26</v>
      </c>
    </row>
    <row r="9" spans="1:11" ht="12.75" x14ac:dyDescent="0.2">
      <c r="A9" s="74" t="s">
        <v>27</v>
      </c>
      <c r="B9" s="61" t="s">
        <v>1001</v>
      </c>
      <c r="C9" s="61" t="s">
        <v>885</v>
      </c>
      <c r="D9" s="63"/>
      <c r="I9" s="65">
        <v>6</v>
      </c>
    </row>
    <row r="10" spans="1:11" ht="12.75" x14ac:dyDescent="0.2">
      <c r="A10" s="74" t="s">
        <v>28</v>
      </c>
      <c r="B10" s="61" t="s">
        <v>1002</v>
      </c>
      <c r="C10" s="61" t="s">
        <v>1008</v>
      </c>
      <c r="D10" s="61" t="s">
        <v>1014</v>
      </c>
      <c r="I10" s="65">
        <v>7</v>
      </c>
    </row>
    <row r="11" spans="1:11" ht="12.75" x14ac:dyDescent="0.2">
      <c r="A11" s="74" t="s">
        <v>29</v>
      </c>
      <c r="B11" s="61" t="s">
        <v>1003</v>
      </c>
      <c r="C11" s="71" t="s">
        <v>886</v>
      </c>
      <c r="D11" s="72" t="s">
        <v>887</v>
      </c>
      <c r="I11" s="65">
        <v>8</v>
      </c>
    </row>
    <row r="12" spans="1:11" ht="12.75" x14ac:dyDescent="0.2">
      <c r="A12" s="74" t="s">
        <v>30</v>
      </c>
      <c r="B12" s="62" t="s">
        <v>1004</v>
      </c>
      <c r="C12" s="62" t="s">
        <v>1009</v>
      </c>
      <c r="D12" s="63"/>
      <c r="I12" s="65">
        <v>9</v>
      </c>
    </row>
    <row r="13" spans="1:11" ht="12.75" x14ac:dyDescent="0.2">
      <c r="A13" s="74" t="s">
        <v>32</v>
      </c>
      <c r="B13" s="61" t="s">
        <v>1015</v>
      </c>
      <c r="C13" s="61" t="s">
        <v>1010</v>
      </c>
      <c r="D13" s="63"/>
      <c r="I13" s="65">
        <v>10</v>
      </c>
    </row>
    <row r="14" spans="1:11" ht="12.75" x14ac:dyDescent="0.2">
      <c r="A14" s="74" t="s">
        <v>33</v>
      </c>
      <c r="B14" s="61" t="s">
        <v>1016</v>
      </c>
      <c r="C14" s="61" t="s">
        <v>1011</v>
      </c>
      <c r="D14" s="63"/>
      <c r="I14" s="65">
        <v>11</v>
      </c>
    </row>
    <row r="15" spans="1:11" ht="12.75" x14ac:dyDescent="0.2">
      <c r="A15" s="74" t="s">
        <v>34</v>
      </c>
      <c r="B15" s="61" t="s">
        <v>1005</v>
      </c>
      <c r="C15" s="62" t="s">
        <v>1012</v>
      </c>
      <c r="D15" s="63"/>
      <c r="I15" s="65">
        <v>12</v>
      </c>
    </row>
    <row r="16" spans="1:11" ht="12.75" x14ac:dyDescent="0.2">
      <c r="A16" s="74" t="s">
        <v>35</v>
      </c>
      <c r="B16" s="61" t="s">
        <v>1006</v>
      </c>
      <c r="C16" s="61" t="s">
        <v>1013</v>
      </c>
      <c r="D16" s="63"/>
      <c r="I16" s="65">
        <v>13</v>
      </c>
    </row>
    <row r="17" spans="1:9" ht="12.75" x14ac:dyDescent="0.2">
      <c r="A17" s="74" t="s">
        <v>36</v>
      </c>
      <c r="B17" s="61" t="s">
        <v>1027</v>
      </c>
      <c r="C17" s="63"/>
      <c r="D17" s="63"/>
      <c r="I17" s="65">
        <v>14</v>
      </c>
    </row>
    <row r="18" spans="1:9" ht="12.75" x14ac:dyDescent="0.2">
      <c r="A18" s="74" t="s">
        <v>37</v>
      </c>
      <c r="B18" s="61" t="s">
        <v>1029</v>
      </c>
      <c r="C18" s="63"/>
      <c r="D18" s="63"/>
      <c r="I18" s="65">
        <v>15</v>
      </c>
    </row>
    <row r="19" spans="1:9" ht="12.75" x14ac:dyDescent="0.2">
      <c r="I19" s="65">
        <v>16</v>
      </c>
    </row>
    <row r="20" spans="1:9" ht="12.75" x14ac:dyDescent="0.2">
      <c r="A20" s="240"/>
      <c r="B20" s="241"/>
      <c r="C20" s="241"/>
      <c r="D20" s="241"/>
    </row>
    <row r="21" spans="1:9" ht="12.75" x14ac:dyDescent="0.2">
      <c r="A21" s="73" t="s">
        <v>20</v>
      </c>
      <c r="B21" s="4" t="s">
        <v>21</v>
      </c>
      <c r="C21" s="4" t="s">
        <v>22</v>
      </c>
      <c r="D21" s="4" t="s">
        <v>23</v>
      </c>
      <c r="E21" s="1" t="s">
        <v>38</v>
      </c>
    </row>
    <row r="22" spans="1:9" ht="12.75" x14ac:dyDescent="0.2">
      <c r="A22" s="74" t="s">
        <v>25</v>
      </c>
      <c r="B22" s="11">
        <v>72</v>
      </c>
      <c r="C22" s="12" t="s">
        <v>39</v>
      </c>
      <c r="D22" s="13" t="s">
        <v>40</v>
      </c>
      <c r="E22" s="10">
        <f>SUM(B22:D22)</f>
        <v>72</v>
      </c>
      <c r="F22" s="1"/>
    </row>
    <row r="23" spans="1:9" ht="12.75" x14ac:dyDescent="0.2">
      <c r="A23" s="74" t="s">
        <v>27</v>
      </c>
      <c r="B23" s="11">
        <v>21</v>
      </c>
      <c r="C23" s="11">
        <v>22</v>
      </c>
      <c r="D23" s="13" t="s">
        <v>40</v>
      </c>
      <c r="E23" s="10">
        <f t="shared" ref="E23:E29" si="0">SUM(B23:D23)</f>
        <v>43</v>
      </c>
      <c r="F23" s="10">
        <f>SUM(E21:E23)</f>
        <v>115</v>
      </c>
      <c r="G23" s="66">
        <v>4</v>
      </c>
      <c r="H23" s="66"/>
    </row>
    <row r="24" spans="1:9" ht="14.25" customHeight="1" x14ac:dyDescent="0.2">
      <c r="A24" s="73" t="s">
        <v>28</v>
      </c>
      <c r="B24" s="4">
        <v>27</v>
      </c>
      <c r="C24" s="4">
        <v>27</v>
      </c>
      <c r="D24" s="4">
        <v>27</v>
      </c>
      <c r="E24" s="5">
        <f t="shared" si="0"/>
        <v>81</v>
      </c>
      <c r="F24" s="1"/>
      <c r="G24" s="66"/>
      <c r="H24" s="66"/>
    </row>
    <row r="25" spans="1:9" ht="14.25" customHeight="1" x14ac:dyDescent="0.2">
      <c r="A25" s="73" t="s">
        <v>29</v>
      </c>
      <c r="B25" s="4">
        <v>26</v>
      </c>
      <c r="C25" s="4">
        <v>24</v>
      </c>
      <c r="D25" s="4">
        <v>23</v>
      </c>
      <c r="E25" s="5">
        <f>SUM(B25:D25)</f>
        <v>73</v>
      </c>
      <c r="F25" s="1"/>
      <c r="G25" s="66"/>
      <c r="H25" s="66"/>
    </row>
    <row r="26" spans="1:9" ht="14.25" customHeight="1" x14ac:dyDescent="0.2">
      <c r="A26" s="73" t="s">
        <v>30</v>
      </c>
      <c r="B26" s="4">
        <v>29</v>
      </c>
      <c r="C26" s="4">
        <v>29</v>
      </c>
      <c r="D26" s="13" t="s">
        <v>40</v>
      </c>
      <c r="E26" s="5">
        <f t="shared" si="0"/>
        <v>58</v>
      </c>
      <c r="F26" s="5">
        <f>SUM(E24:E26)</f>
        <v>212</v>
      </c>
      <c r="G26" s="66">
        <v>8</v>
      </c>
      <c r="H26" s="66"/>
    </row>
    <row r="27" spans="1:9" ht="14.25" customHeight="1" x14ac:dyDescent="0.2">
      <c r="A27" s="74" t="s">
        <v>32</v>
      </c>
      <c r="B27" s="14">
        <v>24</v>
      </c>
      <c r="C27" s="14">
        <v>23</v>
      </c>
      <c r="D27" s="13" t="s">
        <v>40</v>
      </c>
      <c r="E27" s="1">
        <f t="shared" si="0"/>
        <v>47</v>
      </c>
      <c r="G27" s="66"/>
      <c r="H27" s="66"/>
    </row>
    <row r="28" spans="1:9" ht="14.25" customHeight="1" x14ac:dyDescent="0.2">
      <c r="A28" s="74" t="s">
        <v>33</v>
      </c>
      <c r="B28" s="14">
        <v>28</v>
      </c>
      <c r="C28" s="14">
        <v>27</v>
      </c>
      <c r="D28" s="13" t="s">
        <v>40</v>
      </c>
      <c r="E28" s="1">
        <f t="shared" si="0"/>
        <v>55</v>
      </c>
      <c r="G28" s="66"/>
      <c r="H28" s="66"/>
    </row>
    <row r="29" spans="1:9" ht="14.25" customHeight="1" x14ac:dyDescent="0.2">
      <c r="A29" s="74" t="s">
        <v>34</v>
      </c>
      <c r="B29" s="14">
        <v>23</v>
      </c>
      <c r="C29" s="14">
        <v>22</v>
      </c>
      <c r="D29" s="13" t="s">
        <v>40</v>
      </c>
      <c r="E29" s="1">
        <f t="shared" si="0"/>
        <v>45</v>
      </c>
      <c r="F29" s="1">
        <f>SUM(E27:E29)</f>
        <v>147</v>
      </c>
      <c r="G29" s="66">
        <v>12</v>
      </c>
      <c r="H29" s="66"/>
    </row>
    <row r="30" spans="1:9" ht="14.25" customHeight="1" x14ac:dyDescent="0.2">
      <c r="A30" s="75" t="s">
        <v>35</v>
      </c>
      <c r="B30" s="15">
        <v>25</v>
      </c>
      <c r="C30" s="16">
        <v>25</v>
      </c>
      <c r="D30" s="13" t="s">
        <v>40</v>
      </c>
      <c r="E30" s="9">
        <f t="shared" ref="E30:E32" si="1">SUM(B30:D30)</f>
        <v>50</v>
      </c>
      <c r="F30" s="1"/>
      <c r="G30" s="66">
        <v>4</v>
      </c>
      <c r="H30" s="66"/>
    </row>
    <row r="31" spans="1:9" ht="14.25" customHeight="1" x14ac:dyDescent="0.2">
      <c r="A31" s="75" t="s">
        <v>36</v>
      </c>
      <c r="B31" s="15">
        <v>29</v>
      </c>
      <c r="C31" s="13" t="s">
        <v>40</v>
      </c>
      <c r="D31" s="13" t="s">
        <v>40</v>
      </c>
      <c r="E31" s="9">
        <f t="shared" si="1"/>
        <v>29</v>
      </c>
      <c r="F31" s="1"/>
      <c r="G31" s="66"/>
      <c r="H31" s="66"/>
    </row>
    <row r="32" spans="1:9" ht="14.25" customHeight="1" x14ac:dyDescent="0.2">
      <c r="A32" s="75" t="s">
        <v>37</v>
      </c>
      <c r="B32" s="15">
        <v>38</v>
      </c>
      <c r="C32" s="13" t="s">
        <v>40</v>
      </c>
      <c r="D32" s="13" t="s">
        <v>40</v>
      </c>
      <c r="E32" s="9">
        <f t="shared" si="1"/>
        <v>38</v>
      </c>
      <c r="F32" s="9">
        <f>SUM(E30:E32)</f>
        <v>117</v>
      </c>
      <c r="G32" s="66"/>
      <c r="H32" s="66"/>
    </row>
    <row r="33" spans="1:11" ht="13.5" customHeight="1" x14ac:dyDescent="0.2">
      <c r="A33" s="67"/>
      <c r="B33" s="67"/>
      <c r="C33" s="67"/>
      <c r="D33" s="69" t="s">
        <v>38</v>
      </c>
      <c r="E33" s="68">
        <f>SUM(E21:E32)</f>
        <v>591</v>
      </c>
      <c r="F33" s="68" t="s">
        <v>41</v>
      </c>
      <c r="G33" s="66">
        <f>SUM(G22:G32)</f>
        <v>28</v>
      </c>
      <c r="H33" s="66" t="s">
        <v>1000</v>
      </c>
    </row>
    <row r="35" spans="1:11" ht="12.75" x14ac:dyDescent="0.2">
      <c r="K35" s="1" t="s">
        <v>42</v>
      </c>
    </row>
  </sheetData>
  <mergeCells count="3">
    <mergeCell ref="A20:D20"/>
    <mergeCell ref="A4:D4"/>
    <mergeCell ref="A5:D5"/>
  </mergeCells>
  <pageMargins left="0.70866141732283472" right="0.70866141732283472" top="0.74803149606299213" bottom="0.74803149606299213" header="0.31496062992125984" footer="0.31496062992125984"/>
  <pageSetup paperSize="9" scale="68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5F4AC-67BC-485A-9C9D-CAA97E9CD086}">
  <sheetPr>
    <tabColor rgb="FFF6B26B"/>
  </sheetPr>
  <dimension ref="A2:N24"/>
  <sheetViews>
    <sheetView workbookViewId="0">
      <selection activeCell="N6" sqref="N6"/>
    </sheetView>
  </sheetViews>
  <sheetFormatPr defaultRowHeight="12.75" x14ac:dyDescent="0.2"/>
  <cols>
    <col min="1" max="1" width="12.28515625" customWidth="1"/>
    <col min="11" max="11" width="1.140625" customWidth="1"/>
  </cols>
  <sheetData>
    <row r="2" spans="1:14" x14ac:dyDescent="0.2">
      <c r="A2" s="247" t="s">
        <v>1077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</row>
    <row r="3" spans="1:14" x14ac:dyDescent="0.2">
      <c r="A3" s="133"/>
      <c r="B3" s="133"/>
      <c r="C3" s="133"/>
      <c r="D3" s="133"/>
      <c r="E3" s="133"/>
      <c r="F3" s="133"/>
      <c r="G3" s="249" t="s">
        <v>1082</v>
      </c>
      <c r="H3" s="250"/>
      <c r="I3" s="250"/>
      <c r="J3" s="250"/>
      <c r="K3" s="250"/>
      <c r="L3" s="250"/>
      <c r="M3" s="250"/>
      <c r="N3" s="250"/>
    </row>
    <row r="4" spans="1:14" ht="15" x14ac:dyDescent="0.25">
      <c r="A4" s="134"/>
      <c r="B4" s="251" t="s">
        <v>1065</v>
      </c>
      <c r="C4" s="252"/>
      <c r="D4" s="252"/>
      <c r="E4" s="253" t="s">
        <v>22</v>
      </c>
      <c r="F4" s="254"/>
      <c r="G4" s="255"/>
      <c r="H4" s="256" t="s">
        <v>23</v>
      </c>
      <c r="I4" s="257"/>
      <c r="J4" s="258"/>
      <c r="K4" s="136"/>
      <c r="L4" s="259"/>
      <c r="M4" s="260"/>
      <c r="N4" s="261" t="s">
        <v>38</v>
      </c>
    </row>
    <row r="5" spans="1:14" ht="15" x14ac:dyDescent="0.25">
      <c r="A5" s="137" t="s">
        <v>20</v>
      </c>
      <c r="B5" s="138" t="s">
        <v>1066</v>
      </c>
      <c r="C5" s="138" t="s">
        <v>1067</v>
      </c>
      <c r="D5" s="139" t="s">
        <v>38</v>
      </c>
      <c r="E5" s="140" t="s">
        <v>1066</v>
      </c>
      <c r="F5" s="141" t="s">
        <v>1067</v>
      </c>
      <c r="G5" s="142" t="s">
        <v>38</v>
      </c>
      <c r="H5" s="143" t="s">
        <v>1066</v>
      </c>
      <c r="I5" s="140" t="s">
        <v>1067</v>
      </c>
      <c r="J5" s="144" t="s">
        <v>38</v>
      </c>
      <c r="K5" s="136"/>
      <c r="L5" s="210" t="s">
        <v>1066</v>
      </c>
      <c r="M5" s="211" t="s">
        <v>1067</v>
      </c>
      <c r="N5" s="262"/>
    </row>
    <row r="6" spans="1:14" ht="15" x14ac:dyDescent="0.25">
      <c r="A6" s="135" t="s">
        <v>25</v>
      </c>
      <c r="B6" s="145">
        <v>17</v>
      </c>
      <c r="C6" s="145">
        <v>19</v>
      </c>
      <c r="D6" s="146">
        <f t="shared" ref="D6:D8" si="0">B6+C6</f>
        <v>36</v>
      </c>
      <c r="E6" s="145">
        <v>14</v>
      </c>
      <c r="F6" s="145">
        <v>21</v>
      </c>
      <c r="G6" s="146">
        <f t="shared" ref="G6:G8" si="1">E6+F6</f>
        <v>35</v>
      </c>
      <c r="H6" s="150">
        <v>0</v>
      </c>
      <c r="I6" s="150">
        <v>0</v>
      </c>
      <c r="J6" s="150">
        <f t="shared" ref="J6:J20" si="2">H6+I6</f>
        <v>0</v>
      </c>
      <c r="K6" s="136"/>
      <c r="L6" s="147">
        <f>B6+E6+H6</f>
        <v>31</v>
      </c>
      <c r="M6" s="147">
        <f>C6+F6+I6</f>
        <v>40</v>
      </c>
      <c r="N6" s="148">
        <f>D6+G6+J6</f>
        <v>71</v>
      </c>
    </row>
    <row r="7" spans="1:14" ht="15" x14ac:dyDescent="0.25">
      <c r="A7" s="135" t="s">
        <v>27</v>
      </c>
      <c r="B7" s="152">
        <v>10</v>
      </c>
      <c r="C7" s="152">
        <v>11</v>
      </c>
      <c r="D7" s="146">
        <f t="shared" si="0"/>
        <v>21</v>
      </c>
      <c r="E7" s="152">
        <v>11</v>
      </c>
      <c r="F7" s="152">
        <v>10</v>
      </c>
      <c r="G7" s="146">
        <f t="shared" si="1"/>
        <v>21</v>
      </c>
      <c r="H7" s="150">
        <v>0</v>
      </c>
      <c r="I7" s="150">
        <v>0</v>
      </c>
      <c r="J7" s="150">
        <f t="shared" si="2"/>
        <v>0</v>
      </c>
      <c r="K7" s="136"/>
      <c r="L7" s="147">
        <f t="shared" ref="L7:L21" si="3">B7+E7+H7</f>
        <v>21</v>
      </c>
      <c r="M7" s="147">
        <f t="shared" ref="M7:M21" si="4">C7+F7+I7</f>
        <v>21</v>
      </c>
      <c r="N7" s="148">
        <f>D7+G7+J7</f>
        <v>42</v>
      </c>
    </row>
    <row r="8" spans="1:14" ht="15" x14ac:dyDescent="0.2">
      <c r="A8" s="149" t="s">
        <v>1068</v>
      </c>
      <c r="B8" s="150">
        <f>SUM(B6:B7)</f>
        <v>27</v>
      </c>
      <c r="C8" s="150">
        <f>SUM(C6:C7)</f>
        <v>30</v>
      </c>
      <c r="D8" s="209">
        <f t="shared" si="0"/>
        <v>57</v>
      </c>
      <c r="E8" s="150">
        <f>SUM(E6:E7)</f>
        <v>25</v>
      </c>
      <c r="F8" s="150">
        <f>SUM(F6:F7)</f>
        <v>31</v>
      </c>
      <c r="G8" s="209">
        <f t="shared" si="1"/>
        <v>56</v>
      </c>
      <c r="H8" s="150">
        <v>0</v>
      </c>
      <c r="I8" s="150">
        <v>0</v>
      </c>
      <c r="J8" s="150">
        <v>0</v>
      </c>
      <c r="K8" s="136"/>
      <c r="L8" s="147">
        <f>B8+E8+H8</f>
        <v>52</v>
      </c>
      <c r="M8" s="147">
        <f t="shared" si="4"/>
        <v>61</v>
      </c>
      <c r="N8" s="151">
        <f>SUM(N6:N7)</f>
        <v>113</v>
      </c>
    </row>
    <row r="9" spans="1:14" ht="15" x14ac:dyDescent="0.25">
      <c r="A9" s="135" t="s">
        <v>28</v>
      </c>
      <c r="B9" s="152">
        <v>15</v>
      </c>
      <c r="C9" s="152">
        <v>12</v>
      </c>
      <c r="D9" s="146">
        <f>B9+C9</f>
        <v>27</v>
      </c>
      <c r="E9" s="152">
        <v>14</v>
      </c>
      <c r="F9" s="152">
        <v>11</v>
      </c>
      <c r="G9" s="146">
        <f>E9+F9</f>
        <v>25</v>
      </c>
      <c r="H9" s="152">
        <v>14</v>
      </c>
      <c r="I9" s="152">
        <v>11</v>
      </c>
      <c r="J9" s="146">
        <f t="shared" si="2"/>
        <v>25</v>
      </c>
      <c r="K9" s="136"/>
      <c r="L9" s="147">
        <f t="shared" si="3"/>
        <v>43</v>
      </c>
      <c r="M9" s="147">
        <f t="shared" si="4"/>
        <v>34</v>
      </c>
      <c r="N9" s="148">
        <f>D9+G9+J9</f>
        <v>77</v>
      </c>
    </row>
    <row r="10" spans="1:14" ht="15" x14ac:dyDescent="0.25">
      <c r="A10" s="135" t="s">
        <v>29</v>
      </c>
      <c r="B10" s="152">
        <f>COUNTIF('ป.1-ป.6'!D130:D155,"เด็กชาย")</f>
        <v>12</v>
      </c>
      <c r="C10" s="152">
        <f>COUNTIF('ป.1-ป.6'!D130:D155,"เด็กหญิง")</f>
        <v>14</v>
      </c>
      <c r="D10" s="146">
        <f t="shared" ref="D10:D19" si="5">B10+C10</f>
        <v>26</v>
      </c>
      <c r="E10" s="152">
        <f>COUNTIF('ป.1-ป.6'!D171:D200,"เด็กชาย")</f>
        <v>12</v>
      </c>
      <c r="F10" s="152">
        <f>COUNTIF('ป.1-ป.6'!D171:D200,"เด็กหญิง")</f>
        <v>12</v>
      </c>
      <c r="G10" s="146">
        <f t="shared" ref="G10:G20" si="6">E10+F10</f>
        <v>24</v>
      </c>
      <c r="H10" s="152">
        <v>12</v>
      </c>
      <c r="I10" s="152">
        <v>11</v>
      </c>
      <c r="J10" s="146">
        <f t="shared" si="2"/>
        <v>23</v>
      </c>
      <c r="K10" s="136"/>
      <c r="L10" s="147">
        <f t="shared" si="3"/>
        <v>36</v>
      </c>
      <c r="M10" s="147">
        <f t="shared" si="4"/>
        <v>37</v>
      </c>
      <c r="N10" s="148">
        <f>D10+G10+J10</f>
        <v>73</v>
      </c>
    </row>
    <row r="11" spans="1:14" ht="15" x14ac:dyDescent="0.25">
      <c r="A11" s="135" t="s">
        <v>30</v>
      </c>
      <c r="B11" s="152">
        <v>10</v>
      </c>
      <c r="C11" s="152">
        <v>19</v>
      </c>
      <c r="D11" s="146">
        <f t="shared" si="5"/>
        <v>29</v>
      </c>
      <c r="E11" s="152">
        <v>11</v>
      </c>
      <c r="F11" s="152">
        <v>18</v>
      </c>
      <c r="G11" s="146">
        <f t="shared" si="6"/>
        <v>29</v>
      </c>
      <c r="H11" s="150">
        <v>0</v>
      </c>
      <c r="I11" s="150">
        <v>0</v>
      </c>
      <c r="J11" s="150">
        <f t="shared" si="2"/>
        <v>0</v>
      </c>
      <c r="K11" s="136"/>
      <c r="L11" s="147">
        <f t="shared" si="3"/>
        <v>21</v>
      </c>
      <c r="M11" s="147">
        <f t="shared" si="4"/>
        <v>37</v>
      </c>
      <c r="N11" s="148">
        <f>D11+G11</f>
        <v>58</v>
      </c>
    </row>
    <row r="12" spans="1:14" ht="15" x14ac:dyDescent="0.25">
      <c r="A12" s="153" t="s">
        <v>1069</v>
      </c>
      <c r="B12" s="154">
        <f>SUM(B9:B11)</f>
        <v>37</v>
      </c>
      <c r="C12" s="154">
        <f t="shared" ref="C12:F12" si="7">SUM(C9:C11)</f>
        <v>45</v>
      </c>
      <c r="D12" s="209">
        <f t="shared" si="5"/>
        <v>82</v>
      </c>
      <c r="E12" s="154">
        <f t="shared" si="7"/>
        <v>37</v>
      </c>
      <c r="F12" s="154">
        <f t="shared" si="7"/>
        <v>41</v>
      </c>
      <c r="G12" s="209">
        <f t="shared" si="6"/>
        <v>78</v>
      </c>
      <c r="H12" s="154"/>
      <c r="I12" s="154"/>
      <c r="J12" s="150">
        <f t="shared" si="2"/>
        <v>0</v>
      </c>
      <c r="K12" s="136"/>
      <c r="L12" s="147">
        <f t="shared" si="3"/>
        <v>74</v>
      </c>
      <c r="M12" s="147">
        <f t="shared" si="4"/>
        <v>86</v>
      </c>
      <c r="N12" s="155">
        <f>SUM(N9:N11)</f>
        <v>208</v>
      </c>
    </row>
    <row r="13" spans="1:14" ht="15" x14ac:dyDescent="0.25">
      <c r="A13" s="135" t="s">
        <v>32</v>
      </c>
      <c r="B13" s="152">
        <v>12</v>
      </c>
      <c r="C13" s="152">
        <v>12</v>
      </c>
      <c r="D13" s="146">
        <f t="shared" si="5"/>
        <v>24</v>
      </c>
      <c r="E13" s="152">
        <v>9</v>
      </c>
      <c r="F13" s="152">
        <v>14</v>
      </c>
      <c r="G13" s="146">
        <f t="shared" si="6"/>
        <v>23</v>
      </c>
      <c r="H13" s="212"/>
      <c r="I13" s="212"/>
      <c r="J13" s="150">
        <f t="shared" si="2"/>
        <v>0</v>
      </c>
      <c r="K13" s="136"/>
      <c r="L13" s="147">
        <f t="shared" si="3"/>
        <v>21</v>
      </c>
      <c r="M13" s="147">
        <f t="shared" si="4"/>
        <v>26</v>
      </c>
      <c r="N13" s="148">
        <f>D13+G13</f>
        <v>47</v>
      </c>
    </row>
    <row r="14" spans="1:14" ht="15" x14ac:dyDescent="0.25">
      <c r="A14" s="135" t="s">
        <v>33</v>
      </c>
      <c r="B14" s="152">
        <v>14</v>
      </c>
      <c r="C14" s="152">
        <v>14</v>
      </c>
      <c r="D14" s="146">
        <f t="shared" si="5"/>
        <v>28</v>
      </c>
      <c r="E14" s="152">
        <v>14</v>
      </c>
      <c r="F14" s="152">
        <v>13</v>
      </c>
      <c r="G14" s="146">
        <f t="shared" si="6"/>
        <v>27</v>
      </c>
      <c r="H14" s="212"/>
      <c r="I14" s="212"/>
      <c r="J14" s="150">
        <f t="shared" si="2"/>
        <v>0</v>
      </c>
      <c r="K14" s="136"/>
      <c r="L14" s="147">
        <f t="shared" si="3"/>
        <v>28</v>
      </c>
      <c r="M14" s="147">
        <f t="shared" si="4"/>
        <v>27</v>
      </c>
      <c r="N14" s="148">
        <f>D14+G14</f>
        <v>55</v>
      </c>
    </row>
    <row r="15" spans="1:14" ht="15" x14ac:dyDescent="0.25">
      <c r="A15" s="135" t="s">
        <v>34</v>
      </c>
      <c r="B15" s="152">
        <v>13</v>
      </c>
      <c r="C15" s="152">
        <v>10</v>
      </c>
      <c r="D15" s="146">
        <f t="shared" si="5"/>
        <v>23</v>
      </c>
      <c r="E15" s="152">
        <v>9</v>
      </c>
      <c r="F15" s="152">
        <v>13</v>
      </c>
      <c r="G15" s="146">
        <f t="shared" si="6"/>
        <v>22</v>
      </c>
      <c r="H15" s="212"/>
      <c r="I15" s="212"/>
      <c r="J15" s="150">
        <f t="shared" si="2"/>
        <v>0</v>
      </c>
      <c r="K15" s="136"/>
      <c r="L15" s="147">
        <f t="shared" si="3"/>
        <v>22</v>
      </c>
      <c r="M15" s="147">
        <f t="shared" si="4"/>
        <v>23</v>
      </c>
      <c r="N15" s="148">
        <f>D15+G15</f>
        <v>45</v>
      </c>
    </row>
    <row r="16" spans="1:14" ht="15" x14ac:dyDescent="0.2">
      <c r="A16" s="156" t="s">
        <v>1070</v>
      </c>
      <c r="B16" s="154">
        <f>SUM(B13:B15)</f>
        <v>39</v>
      </c>
      <c r="C16" s="154">
        <f t="shared" ref="C16:I16" si="8">SUM(C13:C15)</f>
        <v>36</v>
      </c>
      <c r="D16" s="209">
        <f t="shared" si="5"/>
        <v>75</v>
      </c>
      <c r="E16" s="154">
        <f t="shared" si="8"/>
        <v>32</v>
      </c>
      <c r="F16" s="154">
        <f t="shared" si="8"/>
        <v>40</v>
      </c>
      <c r="G16" s="209">
        <f t="shared" si="6"/>
        <v>72</v>
      </c>
      <c r="H16" s="154">
        <f t="shared" si="8"/>
        <v>0</v>
      </c>
      <c r="I16" s="154">
        <f t="shared" si="8"/>
        <v>0</v>
      </c>
      <c r="J16" s="150">
        <f t="shared" si="2"/>
        <v>0</v>
      </c>
      <c r="K16" s="136"/>
      <c r="L16" s="147">
        <f t="shared" si="3"/>
        <v>71</v>
      </c>
      <c r="M16" s="147">
        <f t="shared" si="4"/>
        <v>76</v>
      </c>
      <c r="N16" s="155">
        <f>SUM(N13:N15)</f>
        <v>147</v>
      </c>
    </row>
    <row r="17" spans="1:14" ht="15" x14ac:dyDescent="0.2">
      <c r="A17" s="157" t="s">
        <v>1071</v>
      </c>
      <c r="B17" s="150">
        <f>B16+B12</f>
        <v>76</v>
      </c>
      <c r="C17" s="150">
        <f t="shared" ref="C17:F17" si="9">C16+C12</f>
        <v>81</v>
      </c>
      <c r="D17" s="209">
        <f t="shared" si="5"/>
        <v>157</v>
      </c>
      <c r="E17" s="150">
        <f t="shared" si="9"/>
        <v>69</v>
      </c>
      <c r="F17" s="150">
        <f t="shared" si="9"/>
        <v>81</v>
      </c>
      <c r="G17" s="209">
        <f t="shared" si="6"/>
        <v>150</v>
      </c>
      <c r="H17" s="150"/>
      <c r="I17" s="150"/>
      <c r="J17" s="150">
        <f t="shared" si="2"/>
        <v>0</v>
      </c>
      <c r="K17" s="136"/>
      <c r="L17" s="147">
        <f t="shared" si="3"/>
        <v>145</v>
      </c>
      <c r="M17" s="147">
        <f t="shared" si="4"/>
        <v>162</v>
      </c>
      <c r="N17" s="151">
        <f>N16+N12</f>
        <v>355</v>
      </c>
    </row>
    <row r="18" spans="1:14" ht="15" x14ac:dyDescent="0.25">
      <c r="A18" s="135" t="s">
        <v>35</v>
      </c>
      <c r="B18" s="158">
        <v>10</v>
      </c>
      <c r="C18" s="158">
        <v>14</v>
      </c>
      <c r="D18" s="146">
        <f t="shared" si="5"/>
        <v>24</v>
      </c>
      <c r="E18" s="158">
        <v>10</v>
      </c>
      <c r="F18" s="158">
        <v>14</v>
      </c>
      <c r="G18" s="146">
        <f t="shared" si="6"/>
        <v>24</v>
      </c>
      <c r="H18" s="214"/>
      <c r="I18" s="214"/>
      <c r="J18" s="150">
        <f t="shared" si="2"/>
        <v>0</v>
      </c>
      <c r="K18" s="136"/>
      <c r="L18" s="147">
        <f t="shared" si="3"/>
        <v>20</v>
      </c>
      <c r="M18" s="147">
        <f t="shared" si="4"/>
        <v>28</v>
      </c>
      <c r="N18" s="148">
        <f>D18+G18</f>
        <v>48</v>
      </c>
    </row>
    <row r="19" spans="1:14" ht="15" x14ac:dyDescent="0.25">
      <c r="A19" s="135" t="s">
        <v>36</v>
      </c>
      <c r="B19" s="158">
        <v>14</v>
      </c>
      <c r="C19" s="158">
        <v>15</v>
      </c>
      <c r="D19" s="146">
        <f t="shared" si="5"/>
        <v>29</v>
      </c>
      <c r="E19" s="213"/>
      <c r="F19" s="214"/>
      <c r="G19" s="209">
        <f>E19+F19</f>
        <v>0</v>
      </c>
      <c r="H19" s="214"/>
      <c r="I19" s="214"/>
      <c r="J19" s="150">
        <f t="shared" si="2"/>
        <v>0</v>
      </c>
      <c r="K19" s="136"/>
      <c r="L19" s="147">
        <f t="shared" si="3"/>
        <v>14</v>
      </c>
      <c r="M19" s="147">
        <f t="shared" si="4"/>
        <v>15</v>
      </c>
      <c r="N19" s="148">
        <f t="shared" ref="N19:N20" si="10">D19+G19</f>
        <v>29</v>
      </c>
    </row>
    <row r="20" spans="1:14" ht="15" x14ac:dyDescent="0.25">
      <c r="A20" s="135" t="s">
        <v>37</v>
      </c>
      <c r="B20" s="158">
        <v>17</v>
      </c>
      <c r="C20" s="158">
        <v>21</v>
      </c>
      <c r="D20" s="146">
        <f>B20+C20</f>
        <v>38</v>
      </c>
      <c r="E20" s="215"/>
      <c r="F20" s="214"/>
      <c r="G20" s="209">
        <f t="shared" si="6"/>
        <v>0</v>
      </c>
      <c r="H20" s="214"/>
      <c r="I20" s="214"/>
      <c r="J20" s="150">
        <f t="shared" si="2"/>
        <v>0</v>
      </c>
      <c r="K20" s="136"/>
      <c r="L20" s="147">
        <f t="shared" si="3"/>
        <v>17</v>
      </c>
      <c r="M20" s="147">
        <f t="shared" si="4"/>
        <v>21</v>
      </c>
      <c r="N20" s="148">
        <f t="shared" si="10"/>
        <v>38</v>
      </c>
    </row>
    <row r="21" spans="1:14" ht="15" x14ac:dyDescent="0.25">
      <c r="A21" s="159" t="s">
        <v>1072</v>
      </c>
      <c r="B21" s="136">
        <f>SUM(B18:B20)</f>
        <v>41</v>
      </c>
      <c r="C21" s="136">
        <f t="shared" ref="C21:G21" si="11">SUM(C18:C20)</f>
        <v>50</v>
      </c>
      <c r="D21" s="136">
        <f t="shared" si="11"/>
        <v>91</v>
      </c>
      <c r="E21" s="136">
        <f t="shared" si="11"/>
        <v>10</v>
      </c>
      <c r="F21" s="136">
        <f t="shared" si="11"/>
        <v>14</v>
      </c>
      <c r="G21" s="136">
        <f t="shared" si="11"/>
        <v>24</v>
      </c>
      <c r="H21" s="136">
        <v>0</v>
      </c>
      <c r="I21" s="136">
        <v>0</v>
      </c>
      <c r="J21" s="136">
        <v>0</v>
      </c>
      <c r="K21" s="136"/>
      <c r="L21" s="147">
        <f t="shared" si="3"/>
        <v>51</v>
      </c>
      <c r="M21" s="147">
        <f t="shared" si="4"/>
        <v>64</v>
      </c>
      <c r="N21" s="160">
        <f>SUM(N18:N20)</f>
        <v>115</v>
      </c>
    </row>
    <row r="22" spans="1:14" ht="18.75" x14ac:dyDescent="0.25">
      <c r="A22" s="134"/>
      <c r="B22" s="244" t="s">
        <v>1073</v>
      </c>
      <c r="C22" s="245"/>
      <c r="D22" s="245"/>
      <c r="E22" s="245"/>
      <c r="F22" s="245"/>
      <c r="G22" s="245"/>
      <c r="H22" s="245"/>
      <c r="I22" s="245"/>
      <c r="J22" s="245"/>
      <c r="K22" s="161"/>
      <c r="L22" s="161"/>
      <c r="M22" s="161"/>
      <c r="N22" s="162">
        <f>N8+N12+N16+N21</f>
        <v>583</v>
      </c>
    </row>
    <row r="23" spans="1:14" ht="15" x14ac:dyDescent="0.25">
      <c r="A23" s="246"/>
      <c r="B23" s="246"/>
      <c r="C23" s="246"/>
      <c r="D23" s="246"/>
      <c r="E23" s="163"/>
    </row>
    <row r="24" spans="1:14" ht="15" x14ac:dyDescent="0.25">
      <c r="A24" s="246"/>
      <c r="B24" s="246"/>
      <c r="C24" s="246"/>
      <c r="D24" s="163"/>
      <c r="E24" s="163"/>
    </row>
  </sheetData>
  <mergeCells count="10">
    <mergeCell ref="B22:J22"/>
    <mergeCell ref="A23:D23"/>
    <mergeCell ref="A24:C24"/>
    <mergeCell ref="A2:N2"/>
    <mergeCell ref="G3:N3"/>
    <mergeCell ref="B4:D4"/>
    <mergeCell ref="E4:G4"/>
    <mergeCell ref="H4:J4"/>
    <mergeCell ref="L4:M4"/>
    <mergeCell ref="N4:N5"/>
  </mergeCells>
  <conditionalFormatting sqref="B6:I20">
    <cfRule type="cellIs" dxfId="2" priority="3" operator="equal">
      <formula>0</formula>
    </cfRule>
  </conditionalFormatting>
  <conditionalFormatting sqref="J6:J8">
    <cfRule type="cellIs" dxfId="1" priority="2" operator="equal">
      <formula>0</formula>
    </cfRule>
  </conditionalFormatting>
  <conditionalFormatting sqref="J11:J20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D900A-2638-4A88-BD2F-64B2C0F58C20}">
  <sheetPr>
    <tabColor rgb="FFF6B26B"/>
  </sheetPr>
  <dimension ref="A1:M170"/>
  <sheetViews>
    <sheetView view="pageBreakPreview" topLeftCell="A148" zoomScale="130" zoomScaleNormal="100" zoomScaleSheetLayoutView="130" workbookViewId="0">
      <selection activeCell="A133" sqref="A133:F153"/>
    </sheetView>
  </sheetViews>
  <sheetFormatPr defaultRowHeight="19.5" customHeight="1" x14ac:dyDescent="0.2"/>
  <cols>
    <col min="1" max="1" width="6.42578125" style="77" customWidth="1"/>
    <col min="2" max="2" width="8.7109375" style="77" customWidth="1"/>
    <col min="3" max="3" width="18.85546875" style="77" customWidth="1"/>
    <col min="4" max="4" width="8.7109375" style="77" customWidth="1"/>
    <col min="5" max="5" width="11.140625" style="77" customWidth="1"/>
    <col min="6" max="6" width="12.28515625" style="77" customWidth="1"/>
    <col min="7" max="7" width="5.42578125" style="77" customWidth="1"/>
    <col min="8" max="12" width="4.7109375" style="77" customWidth="1"/>
    <col min="13" max="13" width="5.85546875" style="77" customWidth="1"/>
    <col min="14" max="18" width="14" style="77" customWidth="1"/>
    <col min="19" max="16384" width="9.140625" style="77"/>
  </cols>
  <sheetData>
    <row r="1" spans="1:13" ht="19.5" customHeight="1" x14ac:dyDescent="0.2">
      <c r="A1" s="234" t="s">
        <v>890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76"/>
    </row>
    <row r="2" spans="1:13" ht="19.5" customHeight="1" x14ac:dyDescent="0.2">
      <c r="A2" s="233" t="s">
        <v>1033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79"/>
    </row>
    <row r="3" spans="1:13" ht="19.5" customHeight="1" x14ac:dyDescent="0.2">
      <c r="A3" s="78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9"/>
    </row>
    <row r="4" spans="1:13" ht="19.5" customHeight="1" x14ac:dyDescent="0.2">
      <c r="A4" s="236" t="s">
        <v>1036</v>
      </c>
      <c r="B4" s="236"/>
      <c r="C4" s="236"/>
      <c r="D4" s="237" t="s">
        <v>1037</v>
      </c>
      <c r="E4" s="237"/>
      <c r="F4" s="237"/>
      <c r="G4" s="237"/>
      <c r="H4" s="237"/>
      <c r="I4" s="237"/>
      <c r="J4" s="237"/>
      <c r="K4" s="237"/>
      <c r="L4" s="237"/>
      <c r="M4" s="76"/>
    </row>
    <row r="5" spans="1:13" ht="19.5" customHeight="1" x14ac:dyDescent="0.2">
      <c r="A5" s="80"/>
      <c r="B5" s="80"/>
      <c r="C5" s="80"/>
      <c r="D5" s="81"/>
      <c r="E5" s="81"/>
      <c r="F5" s="81"/>
      <c r="G5" s="81"/>
      <c r="H5" s="81"/>
      <c r="I5" s="81"/>
      <c r="J5" s="81"/>
      <c r="K5" s="81"/>
      <c r="L5" s="81"/>
      <c r="M5" s="76"/>
    </row>
    <row r="6" spans="1:13" ht="19.5" customHeight="1" x14ac:dyDescent="0.2">
      <c r="A6" s="82" t="s">
        <v>43</v>
      </c>
      <c r="B6" s="82" t="s">
        <v>44</v>
      </c>
      <c r="C6" s="83" t="s">
        <v>45</v>
      </c>
      <c r="D6" s="238" t="s">
        <v>892</v>
      </c>
      <c r="E6" s="239"/>
      <c r="F6" s="239"/>
      <c r="G6" s="84"/>
      <c r="H6" s="84"/>
      <c r="I6" s="84"/>
      <c r="J6" s="84"/>
      <c r="K6" s="84"/>
      <c r="L6" s="84"/>
      <c r="M6" s="76"/>
    </row>
    <row r="7" spans="1:13" ht="19.5" customHeight="1" x14ac:dyDescent="0.2">
      <c r="A7" s="85">
        <v>1</v>
      </c>
      <c r="B7" s="85">
        <v>3255</v>
      </c>
      <c r="C7" s="86" t="s">
        <v>52</v>
      </c>
      <c r="D7" s="87" t="s">
        <v>194</v>
      </c>
      <c r="E7" s="88" t="s">
        <v>920</v>
      </c>
      <c r="F7" s="88" t="s">
        <v>184</v>
      </c>
      <c r="G7" s="89" t="s">
        <v>888</v>
      </c>
      <c r="H7" s="90"/>
      <c r="I7" s="90"/>
      <c r="J7" s="90"/>
      <c r="K7" s="90"/>
      <c r="L7" s="90"/>
      <c r="M7" s="76"/>
    </row>
    <row r="8" spans="1:13" ht="19.5" customHeight="1" x14ac:dyDescent="0.2">
      <c r="A8" s="85">
        <v>2</v>
      </c>
      <c r="B8" s="85">
        <v>3257</v>
      </c>
      <c r="C8" s="86"/>
      <c r="D8" s="87" t="s">
        <v>194</v>
      </c>
      <c r="E8" s="88" t="s">
        <v>925</v>
      </c>
      <c r="F8" s="88" t="s">
        <v>103</v>
      </c>
      <c r="G8" s="89" t="s">
        <v>888</v>
      </c>
      <c r="H8" s="90"/>
      <c r="I8" s="90"/>
      <c r="J8" s="90"/>
      <c r="K8" s="90"/>
      <c r="L8" s="90"/>
      <c r="M8" s="76"/>
    </row>
    <row r="9" spans="1:13" ht="19.5" customHeight="1" x14ac:dyDescent="0.2">
      <c r="A9" s="85">
        <v>3</v>
      </c>
      <c r="B9" s="85">
        <v>3260</v>
      </c>
      <c r="C9" s="86" t="s">
        <v>54</v>
      </c>
      <c r="D9" s="87" t="s">
        <v>194</v>
      </c>
      <c r="E9" s="88" t="s">
        <v>922</v>
      </c>
      <c r="F9" s="88" t="s">
        <v>103</v>
      </c>
      <c r="G9" s="89" t="s">
        <v>888</v>
      </c>
      <c r="H9" s="90"/>
      <c r="I9" s="90"/>
      <c r="J9" s="90"/>
      <c r="K9" s="90"/>
      <c r="L9" s="90"/>
      <c r="M9" s="76"/>
    </row>
    <row r="10" spans="1:13" ht="19.5" customHeight="1" x14ac:dyDescent="0.2">
      <c r="A10" s="85">
        <v>4</v>
      </c>
      <c r="B10" s="85">
        <v>3261</v>
      </c>
      <c r="C10" s="91"/>
      <c r="D10" s="87" t="s">
        <v>194</v>
      </c>
      <c r="E10" s="88" t="s">
        <v>945</v>
      </c>
      <c r="F10" s="88" t="s">
        <v>103</v>
      </c>
      <c r="G10" s="89" t="s">
        <v>888</v>
      </c>
      <c r="H10" s="90"/>
      <c r="I10" s="90"/>
      <c r="J10" s="90"/>
      <c r="K10" s="90"/>
      <c r="L10" s="90"/>
      <c r="M10" s="76"/>
    </row>
    <row r="11" spans="1:13" ht="19.5" customHeight="1" x14ac:dyDescent="0.2">
      <c r="A11" s="85">
        <v>5</v>
      </c>
      <c r="B11" s="85">
        <v>3262</v>
      </c>
      <c r="C11" s="86"/>
      <c r="D11" s="87" t="s">
        <v>194</v>
      </c>
      <c r="E11" s="88" t="s">
        <v>924</v>
      </c>
      <c r="F11" s="88" t="s">
        <v>158</v>
      </c>
      <c r="G11" s="89" t="s">
        <v>888</v>
      </c>
      <c r="H11" s="90"/>
      <c r="I11" s="90"/>
      <c r="J11" s="90"/>
      <c r="K11" s="90"/>
      <c r="L11" s="90"/>
      <c r="M11" s="76"/>
    </row>
    <row r="12" spans="1:13" ht="19.5" customHeight="1" x14ac:dyDescent="0.2">
      <c r="A12" s="85">
        <v>6</v>
      </c>
      <c r="B12" s="85">
        <v>3263</v>
      </c>
      <c r="C12" s="86" t="s">
        <v>68</v>
      </c>
      <c r="D12" s="87" t="s">
        <v>194</v>
      </c>
      <c r="E12" s="88" t="s">
        <v>944</v>
      </c>
      <c r="F12" s="88" t="s">
        <v>103</v>
      </c>
      <c r="G12" s="89" t="s">
        <v>888</v>
      </c>
      <c r="H12" s="90"/>
      <c r="I12" s="90"/>
      <c r="J12" s="90"/>
      <c r="K12" s="90"/>
      <c r="L12" s="90"/>
      <c r="M12" s="76"/>
    </row>
    <row r="13" spans="1:13" ht="19.5" customHeight="1" x14ac:dyDescent="0.2">
      <c r="A13" s="85">
        <v>7</v>
      </c>
      <c r="B13" s="85">
        <v>3264</v>
      </c>
      <c r="C13" s="91"/>
      <c r="D13" s="87" t="s">
        <v>194</v>
      </c>
      <c r="E13" s="88" t="s">
        <v>946</v>
      </c>
      <c r="F13" s="88" t="s">
        <v>103</v>
      </c>
      <c r="G13" s="89" t="s">
        <v>888</v>
      </c>
      <c r="H13" s="90"/>
      <c r="I13" s="90"/>
      <c r="J13" s="90"/>
      <c r="K13" s="90"/>
      <c r="L13" s="90"/>
      <c r="M13" s="76"/>
    </row>
    <row r="14" spans="1:13" ht="19.5" customHeight="1" x14ac:dyDescent="0.2">
      <c r="A14" s="85">
        <v>8</v>
      </c>
      <c r="B14" s="85">
        <v>3266</v>
      </c>
      <c r="C14" s="92" t="s">
        <v>67</v>
      </c>
      <c r="D14" s="82" t="s">
        <v>194</v>
      </c>
      <c r="E14" s="90" t="s">
        <v>943</v>
      </c>
      <c r="F14" s="90" t="s">
        <v>103</v>
      </c>
      <c r="G14" s="89" t="s">
        <v>888</v>
      </c>
      <c r="H14" s="90"/>
      <c r="I14" s="90"/>
      <c r="J14" s="90"/>
      <c r="K14" s="90"/>
      <c r="L14" s="90"/>
      <c r="M14" s="76"/>
    </row>
    <row r="15" spans="1:13" ht="19.5" customHeight="1" x14ac:dyDescent="0.2">
      <c r="A15" s="85">
        <v>9</v>
      </c>
      <c r="B15" s="85">
        <v>3268</v>
      </c>
      <c r="C15" s="91"/>
      <c r="D15" s="87" t="s">
        <v>194</v>
      </c>
      <c r="E15" s="88" t="s">
        <v>926</v>
      </c>
      <c r="F15" s="88" t="s">
        <v>412</v>
      </c>
      <c r="G15" s="89" t="s">
        <v>888</v>
      </c>
      <c r="H15" s="90"/>
      <c r="I15" s="90"/>
      <c r="J15" s="90"/>
      <c r="K15" s="90"/>
      <c r="L15" s="90"/>
      <c r="M15" s="76"/>
    </row>
    <row r="16" spans="1:13" ht="19.5" customHeight="1" x14ac:dyDescent="0.2">
      <c r="A16" s="85">
        <v>10</v>
      </c>
      <c r="B16" s="85">
        <v>3269</v>
      </c>
      <c r="C16" s="86" t="s">
        <v>53</v>
      </c>
      <c r="D16" s="87" t="s">
        <v>194</v>
      </c>
      <c r="E16" s="88" t="s">
        <v>921</v>
      </c>
      <c r="F16" s="88" t="s">
        <v>103</v>
      </c>
      <c r="G16" s="89" t="s">
        <v>888</v>
      </c>
      <c r="H16" s="90"/>
      <c r="I16" s="90"/>
      <c r="J16" s="90"/>
      <c r="K16" s="90"/>
      <c r="L16" s="90"/>
      <c r="M16" s="76"/>
    </row>
    <row r="17" spans="1:13" ht="19.5" customHeight="1" x14ac:dyDescent="0.2">
      <c r="A17" s="85">
        <v>11</v>
      </c>
      <c r="B17" s="85">
        <v>3271</v>
      </c>
      <c r="C17" s="86" t="s">
        <v>51</v>
      </c>
      <c r="D17" s="87" t="s">
        <v>194</v>
      </c>
      <c r="E17" s="88" t="s">
        <v>919</v>
      </c>
      <c r="F17" s="88" t="s">
        <v>200</v>
      </c>
      <c r="G17" s="89" t="s">
        <v>888</v>
      </c>
      <c r="H17" s="90"/>
      <c r="I17" s="90"/>
      <c r="J17" s="90"/>
      <c r="K17" s="90"/>
      <c r="L17" s="90"/>
      <c r="M17" s="76"/>
    </row>
    <row r="18" spans="1:13" ht="19.5" customHeight="1" x14ac:dyDescent="0.2">
      <c r="A18" s="85">
        <v>12</v>
      </c>
      <c r="B18" s="85">
        <v>3272</v>
      </c>
      <c r="C18" s="86" t="s">
        <v>66</v>
      </c>
      <c r="D18" s="87" t="s">
        <v>194</v>
      </c>
      <c r="E18" s="88" t="s">
        <v>942</v>
      </c>
      <c r="F18" s="88" t="s">
        <v>559</v>
      </c>
      <c r="G18" s="89" t="s">
        <v>888</v>
      </c>
      <c r="H18" s="90"/>
      <c r="I18" s="90"/>
      <c r="J18" s="90"/>
      <c r="K18" s="90"/>
      <c r="L18" s="90"/>
      <c r="M18" s="76"/>
    </row>
    <row r="19" spans="1:13" ht="19.5" customHeight="1" x14ac:dyDescent="0.2">
      <c r="A19" s="85">
        <v>13</v>
      </c>
      <c r="B19" s="85">
        <v>3274</v>
      </c>
      <c r="C19" s="86" t="s">
        <v>65</v>
      </c>
      <c r="D19" s="87" t="s">
        <v>194</v>
      </c>
      <c r="E19" s="88" t="s">
        <v>941</v>
      </c>
      <c r="F19" s="88" t="s">
        <v>103</v>
      </c>
      <c r="G19" s="89" t="s">
        <v>888</v>
      </c>
      <c r="H19" s="90"/>
      <c r="I19" s="90"/>
      <c r="J19" s="90"/>
      <c r="K19" s="90"/>
      <c r="L19" s="90"/>
      <c r="M19" s="76"/>
    </row>
    <row r="20" spans="1:13" ht="19.5" customHeight="1" x14ac:dyDescent="0.2">
      <c r="A20" s="85">
        <v>14</v>
      </c>
      <c r="B20" s="85">
        <v>3276</v>
      </c>
      <c r="C20" s="86"/>
      <c r="D20" s="87" t="s">
        <v>194</v>
      </c>
      <c r="E20" s="88" t="s">
        <v>947</v>
      </c>
      <c r="F20" s="88" t="s">
        <v>570</v>
      </c>
      <c r="G20" s="89" t="s">
        <v>888</v>
      </c>
      <c r="H20" s="90"/>
      <c r="I20" s="90"/>
      <c r="J20" s="90"/>
      <c r="K20" s="90"/>
      <c r="L20" s="90"/>
      <c r="M20" s="76"/>
    </row>
    <row r="21" spans="1:13" ht="19.5" customHeight="1" x14ac:dyDescent="0.2">
      <c r="A21" s="85">
        <v>15</v>
      </c>
      <c r="B21" s="85">
        <v>3280</v>
      </c>
      <c r="C21" s="86" t="s">
        <v>55</v>
      </c>
      <c r="D21" s="87" t="s">
        <v>194</v>
      </c>
      <c r="E21" s="88" t="s">
        <v>923</v>
      </c>
      <c r="F21" s="88" t="s">
        <v>103</v>
      </c>
      <c r="G21" s="89" t="s">
        <v>888</v>
      </c>
      <c r="H21" s="90"/>
      <c r="I21" s="90"/>
      <c r="J21" s="90"/>
      <c r="K21" s="90"/>
      <c r="L21" s="90"/>
      <c r="M21" s="76"/>
    </row>
    <row r="22" spans="1:13" ht="19.5" customHeight="1" x14ac:dyDescent="0.2">
      <c r="A22" s="85">
        <v>16</v>
      </c>
      <c r="B22" s="85">
        <v>3282</v>
      </c>
      <c r="C22" s="86" t="s">
        <v>63</v>
      </c>
      <c r="D22" s="87" t="s">
        <v>194</v>
      </c>
      <c r="E22" s="88" t="s">
        <v>939</v>
      </c>
      <c r="F22" s="88" t="s">
        <v>466</v>
      </c>
      <c r="G22" s="89" t="s">
        <v>888</v>
      </c>
      <c r="H22" s="90"/>
      <c r="I22" s="90"/>
      <c r="J22" s="90"/>
      <c r="K22" s="90"/>
      <c r="L22" s="90"/>
      <c r="M22" s="76"/>
    </row>
    <row r="23" spans="1:13" ht="19.5" customHeight="1" x14ac:dyDescent="0.2">
      <c r="A23" s="85">
        <v>17</v>
      </c>
      <c r="B23" s="85">
        <v>3283</v>
      </c>
      <c r="C23" s="86" t="s">
        <v>64</v>
      </c>
      <c r="D23" s="87" t="s">
        <v>194</v>
      </c>
      <c r="E23" s="88" t="s">
        <v>940</v>
      </c>
      <c r="F23" s="88" t="s">
        <v>253</v>
      </c>
      <c r="G23" s="89" t="s">
        <v>888</v>
      </c>
      <c r="H23" s="90"/>
      <c r="I23" s="90"/>
      <c r="J23" s="90"/>
      <c r="K23" s="90"/>
      <c r="L23" s="90"/>
      <c r="M23" s="76"/>
    </row>
    <row r="24" spans="1:13" ht="19.5" customHeight="1" x14ac:dyDescent="0.2">
      <c r="A24" s="85">
        <v>18</v>
      </c>
      <c r="B24" s="85">
        <v>3286</v>
      </c>
      <c r="C24" s="86" t="s">
        <v>58</v>
      </c>
      <c r="D24" s="87" t="s">
        <v>185</v>
      </c>
      <c r="E24" s="88" t="s">
        <v>929</v>
      </c>
      <c r="F24" s="88" t="s">
        <v>251</v>
      </c>
      <c r="G24" s="89" t="s">
        <v>888</v>
      </c>
      <c r="H24" s="90"/>
      <c r="I24" s="90"/>
      <c r="J24" s="90"/>
      <c r="K24" s="90"/>
      <c r="L24" s="90"/>
      <c r="M24" s="76"/>
    </row>
    <row r="25" spans="1:13" ht="19.5" customHeight="1" x14ac:dyDescent="0.2">
      <c r="A25" s="85">
        <v>19</v>
      </c>
      <c r="B25" s="85">
        <v>3287</v>
      </c>
      <c r="C25" s="86" t="s">
        <v>69</v>
      </c>
      <c r="D25" s="87" t="s">
        <v>185</v>
      </c>
      <c r="E25" s="88" t="s">
        <v>948</v>
      </c>
      <c r="F25" s="88" t="s">
        <v>164</v>
      </c>
      <c r="G25" s="89" t="s">
        <v>888</v>
      </c>
      <c r="H25" s="90"/>
      <c r="I25" s="90"/>
      <c r="J25" s="90"/>
      <c r="K25" s="90"/>
      <c r="L25" s="90"/>
      <c r="M25" s="76"/>
    </row>
    <row r="26" spans="1:13" ht="19.5" customHeight="1" x14ac:dyDescent="0.2">
      <c r="A26" s="85">
        <v>20</v>
      </c>
      <c r="B26" s="85">
        <v>3288</v>
      </c>
      <c r="C26" s="93" t="s">
        <v>70</v>
      </c>
      <c r="D26" s="94" t="s">
        <v>185</v>
      </c>
      <c r="E26" s="95" t="s">
        <v>31</v>
      </c>
      <c r="F26" s="95" t="s">
        <v>718</v>
      </c>
      <c r="G26" s="89" t="s">
        <v>888</v>
      </c>
      <c r="H26" s="90"/>
      <c r="I26" s="90"/>
      <c r="J26" s="90"/>
      <c r="K26" s="90"/>
      <c r="L26" s="90"/>
      <c r="M26" s="76"/>
    </row>
    <row r="27" spans="1:13" ht="19.5" customHeight="1" x14ac:dyDescent="0.2">
      <c r="A27" s="85">
        <v>21</v>
      </c>
      <c r="B27" s="85">
        <v>3290</v>
      </c>
      <c r="C27" s="86" t="s">
        <v>72</v>
      </c>
      <c r="D27" s="87" t="s">
        <v>185</v>
      </c>
      <c r="E27" s="88" t="s">
        <v>950</v>
      </c>
      <c r="F27" s="88" t="s">
        <v>951</v>
      </c>
      <c r="G27" s="89" t="s">
        <v>888</v>
      </c>
      <c r="H27" s="90"/>
      <c r="I27" s="90"/>
      <c r="J27" s="90"/>
      <c r="K27" s="90"/>
      <c r="L27" s="90"/>
      <c r="M27" s="76"/>
    </row>
    <row r="28" spans="1:13" ht="19.5" customHeight="1" x14ac:dyDescent="0.2">
      <c r="A28" s="85">
        <v>22</v>
      </c>
      <c r="B28" s="85">
        <v>3294</v>
      </c>
      <c r="C28" s="86"/>
      <c r="D28" s="87" t="s">
        <v>185</v>
      </c>
      <c r="E28" s="88" t="s">
        <v>956</v>
      </c>
      <c r="F28" s="88" t="s">
        <v>957</v>
      </c>
      <c r="G28" s="89" t="s">
        <v>888</v>
      </c>
      <c r="H28" s="90"/>
      <c r="I28" s="90"/>
      <c r="J28" s="90"/>
      <c r="K28" s="90"/>
      <c r="L28" s="90"/>
      <c r="M28" s="76"/>
    </row>
    <row r="29" spans="1:13" ht="19.5" customHeight="1" x14ac:dyDescent="0.2">
      <c r="A29" s="85">
        <v>23</v>
      </c>
      <c r="B29" s="82">
        <v>3296</v>
      </c>
      <c r="C29" s="92" t="s">
        <v>71</v>
      </c>
      <c r="D29" s="82" t="s">
        <v>185</v>
      </c>
      <c r="E29" s="90" t="s">
        <v>949</v>
      </c>
      <c r="F29" s="90" t="s">
        <v>840</v>
      </c>
      <c r="G29" s="89" t="s">
        <v>888</v>
      </c>
      <c r="H29" s="90"/>
      <c r="I29" s="90"/>
      <c r="J29" s="90"/>
      <c r="K29" s="90"/>
      <c r="L29" s="90"/>
      <c r="M29" s="76"/>
    </row>
    <row r="30" spans="1:13" ht="19.5" customHeight="1" x14ac:dyDescent="0.2">
      <c r="A30" s="85">
        <v>24</v>
      </c>
      <c r="B30" s="85">
        <v>3299</v>
      </c>
      <c r="C30" s="86" t="s">
        <v>57</v>
      </c>
      <c r="D30" s="87" t="s">
        <v>185</v>
      </c>
      <c r="E30" s="88" t="s">
        <v>928</v>
      </c>
      <c r="F30" s="88" t="s">
        <v>538</v>
      </c>
      <c r="G30" s="89" t="s">
        <v>888</v>
      </c>
      <c r="H30" s="90"/>
      <c r="I30" s="90"/>
      <c r="J30" s="90"/>
      <c r="K30" s="90"/>
      <c r="L30" s="90"/>
      <c r="M30" s="76"/>
    </row>
    <row r="31" spans="1:13" ht="19.5" customHeight="1" x14ac:dyDescent="0.2">
      <c r="A31" s="85">
        <v>25</v>
      </c>
      <c r="B31" s="85">
        <v>3302</v>
      </c>
      <c r="C31" s="86"/>
      <c r="D31" s="87" t="s">
        <v>185</v>
      </c>
      <c r="E31" s="88" t="s">
        <v>952</v>
      </c>
      <c r="F31" s="88" t="s">
        <v>103</v>
      </c>
      <c r="G31" s="89" t="s">
        <v>888</v>
      </c>
      <c r="H31" s="90"/>
      <c r="I31" s="90"/>
      <c r="J31" s="90"/>
      <c r="K31" s="90"/>
      <c r="L31" s="90"/>
      <c r="M31" s="76"/>
    </row>
    <row r="32" spans="1:13" ht="19.5" customHeight="1" x14ac:dyDescent="0.2">
      <c r="A32" s="85">
        <v>26</v>
      </c>
      <c r="B32" s="85">
        <v>3305</v>
      </c>
      <c r="C32" s="86" t="s">
        <v>62</v>
      </c>
      <c r="D32" s="87" t="s">
        <v>185</v>
      </c>
      <c r="E32" s="88" t="s">
        <v>934</v>
      </c>
      <c r="F32" s="88" t="s">
        <v>103</v>
      </c>
      <c r="G32" s="89" t="s">
        <v>888</v>
      </c>
      <c r="H32" s="90"/>
      <c r="I32" s="90"/>
      <c r="J32" s="90"/>
      <c r="K32" s="90"/>
      <c r="L32" s="90"/>
      <c r="M32" s="76"/>
    </row>
    <row r="33" spans="1:13" ht="19.5" customHeight="1" x14ac:dyDescent="0.2">
      <c r="A33" s="85">
        <v>27</v>
      </c>
      <c r="B33" s="85">
        <v>3306</v>
      </c>
      <c r="C33" s="91"/>
      <c r="D33" s="87" t="s">
        <v>185</v>
      </c>
      <c r="E33" s="88" t="s">
        <v>955</v>
      </c>
      <c r="F33" s="88" t="s">
        <v>103</v>
      </c>
      <c r="G33" s="89" t="s">
        <v>888</v>
      </c>
      <c r="H33" s="90"/>
      <c r="I33" s="90"/>
      <c r="J33" s="90"/>
      <c r="K33" s="90"/>
      <c r="L33" s="90"/>
      <c r="M33" s="76"/>
    </row>
    <row r="34" spans="1:13" ht="19.5" customHeight="1" x14ac:dyDescent="0.2">
      <c r="A34" s="85">
        <v>28</v>
      </c>
      <c r="B34" s="85">
        <v>3307</v>
      </c>
      <c r="C34" s="86"/>
      <c r="D34" s="87" t="s">
        <v>185</v>
      </c>
      <c r="E34" s="88" t="s">
        <v>954</v>
      </c>
      <c r="F34" s="88" t="s">
        <v>103</v>
      </c>
      <c r="G34" s="89" t="s">
        <v>888</v>
      </c>
      <c r="H34" s="90"/>
      <c r="I34" s="90"/>
      <c r="J34" s="90"/>
      <c r="K34" s="90"/>
      <c r="L34" s="90"/>
      <c r="M34" s="76"/>
    </row>
    <row r="35" spans="1:13" ht="19.5" customHeight="1" x14ac:dyDescent="0.2">
      <c r="A35" s="85">
        <v>29</v>
      </c>
      <c r="B35" s="96">
        <v>3311</v>
      </c>
      <c r="C35" s="97" t="s">
        <v>61</v>
      </c>
      <c r="D35" s="94" t="s">
        <v>185</v>
      </c>
      <c r="E35" s="95" t="s">
        <v>933</v>
      </c>
      <c r="F35" s="95" t="s">
        <v>103</v>
      </c>
      <c r="G35" s="98" t="s">
        <v>888</v>
      </c>
      <c r="H35" s="90"/>
      <c r="I35" s="90"/>
      <c r="J35" s="90"/>
      <c r="K35" s="90"/>
      <c r="L35" s="90"/>
      <c r="M35" s="76"/>
    </row>
    <row r="36" spans="1:13" ht="19.5" customHeight="1" x14ac:dyDescent="0.2">
      <c r="A36" s="85">
        <v>30</v>
      </c>
      <c r="B36" s="82">
        <v>3312</v>
      </c>
      <c r="C36" s="83" t="s">
        <v>60</v>
      </c>
      <c r="D36" s="82" t="s">
        <v>185</v>
      </c>
      <c r="E36" s="90" t="s">
        <v>932</v>
      </c>
      <c r="F36" s="90" t="s">
        <v>103</v>
      </c>
      <c r="G36" s="98" t="s">
        <v>888</v>
      </c>
      <c r="H36" s="90"/>
      <c r="I36" s="90"/>
      <c r="J36" s="90"/>
      <c r="K36" s="90"/>
      <c r="L36" s="90"/>
      <c r="M36" s="76"/>
    </row>
    <row r="37" spans="1:13" ht="19.5" customHeight="1" x14ac:dyDescent="0.2">
      <c r="A37" s="85">
        <v>31</v>
      </c>
      <c r="B37" s="82">
        <v>3313</v>
      </c>
      <c r="C37" s="83"/>
      <c r="D37" s="82" t="s">
        <v>185</v>
      </c>
      <c r="E37" s="90" t="s">
        <v>935</v>
      </c>
      <c r="F37" s="90" t="s">
        <v>103</v>
      </c>
      <c r="G37" s="98" t="s">
        <v>888</v>
      </c>
      <c r="H37" s="90"/>
      <c r="I37" s="90"/>
      <c r="J37" s="90"/>
      <c r="K37" s="90"/>
      <c r="L37" s="90"/>
      <c r="M37" s="76"/>
    </row>
    <row r="38" spans="1:13" ht="19.5" customHeight="1" x14ac:dyDescent="0.2">
      <c r="A38" s="85">
        <v>32</v>
      </c>
      <c r="B38" s="82">
        <v>3314</v>
      </c>
      <c r="C38" s="83" t="s">
        <v>73</v>
      </c>
      <c r="D38" s="82" t="s">
        <v>185</v>
      </c>
      <c r="E38" s="90" t="s">
        <v>953</v>
      </c>
      <c r="F38" s="90" t="s">
        <v>103</v>
      </c>
      <c r="G38" s="98" t="s">
        <v>888</v>
      </c>
      <c r="H38" s="90"/>
      <c r="I38" s="90"/>
      <c r="J38" s="90"/>
      <c r="K38" s="90"/>
      <c r="L38" s="90"/>
      <c r="M38" s="76"/>
    </row>
    <row r="39" spans="1:13" ht="19.5" customHeight="1" x14ac:dyDescent="0.2">
      <c r="A39" s="85">
        <v>33</v>
      </c>
      <c r="B39" s="82">
        <v>3315</v>
      </c>
      <c r="C39" s="83"/>
      <c r="D39" s="82" t="s">
        <v>185</v>
      </c>
      <c r="E39" s="90" t="s">
        <v>936</v>
      </c>
      <c r="F39" s="90" t="s">
        <v>937</v>
      </c>
      <c r="G39" s="98" t="s">
        <v>888</v>
      </c>
      <c r="H39" s="90"/>
      <c r="I39" s="90"/>
      <c r="J39" s="90"/>
      <c r="K39" s="90"/>
      <c r="L39" s="90"/>
      <c r="M39" s="76"/>
    </row>
    <row r="40" spans="1:13" ht="19.5" customHeight="1" x14ac:dyDescent="0.2">
      <c r="A40" s="85">
        <v>34</v>
      </c>
      <c r="B40" s="82">
        <v>3323</v>
      </c>
      <c r="C40" s="83" t="s">
        <v>59</v>
      </c>
      <c r="D40" s="82" t="s">
        <v>185</v>
      </c>
      <c r="E40" s="90" t="s">
        <v>930</v>
      </c>
      <c r="F40" s="90" t="s">
        <v>931</v>
      </c>
      <c r="G40" s="99" t="s">
        <v>888</v>
      </c>
      <c r="H40" s="90"/>
      <c r="I40" s="82"/>
      <c r="J40" s="90"/>
      <c r="K40" s="82"/>
      <c r="L40" s="90"/>
      <c r="M40" s="76"/>
    </row>
    <row r="41" spans="1:13" ht="19.5" customHeight="1" x14ac:dyDescent="0.2">
      <c r="A41" s="85">
        <v>35</v>
      </c>
      <c r="B41" s="82">
        <v>3325</v>
      </c>
      <c r="C41" s="83"/>
      <c r="D41" s="82" t="s">
        <v>185</v>
      </c>
      <c r="E41" s="90" t="s">
        <v>938</v>
      </c>
      <c r="F41" s="90" t="s">
        <v>103</v>
      </c>
      <c r="G41" s="99" t="s">
        <v>888</v>
      </c>
      <c r="H41" s="90"/>
      <c r="I41" s="82"/>
      <c r="J41" s="90"/>
      <c r="K41" s="82"/>
      <c r="L41" s="90"/>
      <c r="M41" s="76"/>
    </row>
    <row r="42" spans="1:13" ht="19.5" customHeight="1" x14ac:dyDescent="0.2">
      <c r="A42" s="85">
        <v>36</v>
      </c>
      <c r="B42" s="82">
        <v>3326</v>
      </c>
      <c r="C42" s="83" t="s">
        <v>56</v>
      </c>
      <c r="D42" s="82" t="s">
        <v>185</v>
      </c>
      <c r="E42" s="90" t="s">
        <v>927</v>
      </c>
      <c r="F42" s="90" t="s">
        <v>774</v>
      </c>
      <c r="G42" s="98" t="s">
        <v>888</v>
      </c>
      <c r="H42" s="82"/>
      <c r="I42" s="90"/>
      <c r="J42" s="82"/>
      <c r="K42" s="90"/>
      <c r="L42" s="100"/>
      <c r="M42" s="76"/>
    </row>
    <row r="43" spans="1:13" ht="19.5" customHeight="1" x14ac:dyDescent="0.2">
      <c r="A43" s="234" t="s">
        <v>890</v>
      </c>
      <c r="B43" s="235"/>
      <c r="C43" s="235"/>
      <c r="D43" s="235"/>
      <c r="E43" s="235"/>
      <c r="F43" s="235"/>
      <c r="G43" s="235"/>
      <c r="H43" s="235"/>
      <c r="I43" s="235"/>
      <c r="J43" s="235"/>
      <c r="K43" s="235"/>
      <c r="L43" s="235"/>
    </row>
    <row r="44" spans="1:13" ht="19.5" customHeight="1" x14ac:dyDescent="0.2">
      <c r="A44" s="233" t="str">
        <f>A2</f>
        <v>ร่าง-รายชื่อนักเรียนปีการศึกษา 1/2569</v>
      </c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</row>
    <row r="45" spans="1:13" ht="19.5" customHeight="1" x14ac:dyDescent="0.2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</row>
    <row r="46" spans="1:13" ht="19.5" customHeight="1" x14ac:dyDescent="0.2">
      <c r="A46" s="236" t="s">
        <v>1038</v>
      </c>
      <c r="B46" s="236"/>
      <c r="C46" s="236"/>
      <c r="D46" s="237" t="s">
        <v>1039</v>
      </c>
      <c r="E46" s="237"/>
      <c r="F46" s="237"/>
      <c r="G46" s="237"/>
      <c r="H46" s="237"/>
      <c r="I46" s="237"/>
      <c r="J46" s="237"/>
      <c r="K46" s="237"/>
      <c r="L46" s="237"/>
    </row>
    <row r="47" spans="1:13" ht="19.5" customHeight="1" x14ac:dyDescent="0.2">
      <c r="A47" s="80"/>
      <c r="B47" s="80"/>
      <c r="C47" s="80"/>
      <c r="D47" s="81"/>
      <c r="E47" s="81"/>
      <c r="F47" s="81"/>
      <c r="G47" s="81"/>
      <c r="H47" s="81"/>
      <c r="I47" s="81"/>
      <c r="J47" s="81"/>
      <c r="K47" s="81"/>
      <c r="L47" s="81"/>
    </row>
    <row r="48" spans="1:13" ht="19.5" customHeight="1" x14ac:dyDescent="0.2">
      <c r="A48" s="82" t="s">
        <v>43</v>
      </c>
      <c r="B48" s="82" t="s">
        <v>44</v>
      </c>
      <c r="C48" s="83" t="s">
        <v>45</v>
      </c>
      <c r="D48" s="238" t="s">
        <v>892</v>
      </c>
      <c r="E48" s="239"/>
      <c r="F48" s="239"/>
      <c r="G48" s="84"/>
      <c r="H48" s="84"/>
      <c r="I48" s="84"/>
      <c r="J48" s="84"/>
      <c r="K48" s="84"/>
      <c r="L48" s="84"/>
    </row>
    <row r="49" spans="1:12" ht="18" customHeight="1" x14ac:dyDescent="0.2">
      <c r="A49" s="85">
        <v>1</v>
      </c>
      <c r="B49" s="85">
        <v>3256</v>
      </c>
      <c r="C49" s="86" t="s">
        <v>88</v>
      </c>
      <c r="D49" s="87" t="s">
        <v>194</v>
      </c>
      <c r="E49" s="101" t="s">
        <v>981</v>
      </c>
      <c r="F49" s="101" t="s">
        <v>774</v>
      </c>
      <c r="G49" s="102" t="s">
        <v>889</v>
      </c>
      <c r="H49" s="90"/>
      <c r="I49" s="90"/>
      <c r="J49" s="90"/>
      <c r="K49" s="90"/>
      <c r="L49" s="90"/>
    </row>
    <row r="50" spans="1:12" ht="19.5" customHeight="1" x14ac:dyDescent="0.2">
      <c r="A50" s="85">
        <v>2</v>
      </c>
      <c r="B50" s="85">
        <v>3258</v>
      </c>
      <c r="C50" s="86"/>
      <c r="D50" s="87" t="s">
        <v>194</v>
      </c>
      <c r="E50" s="101" t="s">
        <v>963</v>
      </c>
      <c r="F50" s="101" t="s">
        <v>103</v>
      </c>
      <c r="G50" s="102" t="s">
        <v>889</v>
      </c>
      <c r="H50" s="90"/>
      <c r="I50" s="90"/>
      <c r="J50" s="90"/>
      <c r="K50" s="90"/>
      <c r="L50" s="90"/>
    </row>
    <row r="51" spans="1:12" ht="19.5" customHeight="1" x14ac:dyDescent="0.2">
      <c r="A51" s="85">
        <v>3</v>
      </c>
      <c r="B51" s="85">
        <v>3259</v>
      </c>
      <c r="C51" s="86" t="s">
        <v>77</v>
      </c>
      <c r="D51" s="87" t="s">
        <v>194</v>
      </c>
      <c r="E51" s="101" t="s">
        <v>961</v>
      </c>
      <c r="F51" s="101" t="s">
        <v>103</v>
      </c>
      <c r="G51" s="102" t="s">
        <v>889</v>
      </c>
      <c r="H51" s="90"/>
      <c r="I51" s="90"/>
      <c r="J51" s="90"/>
      <c r="K51" s="90"/>
      <c r="L51" s="90"/>
    </row>
    <row r="52" spans="1:12" ht="19.5" customHeight="1" x14ac:dyDescent="0.2">
      <c r="A52" s="85">
        <v>4</v>
      </c>
      <c r="B52" s="85">
        <v>3265</v>
      </c>
      <c r="C52" s="86"/>
      <c r="D52" s="87" t="s">
        <v>194</v>
      </c>
      <c r="E52" s="101" t="s">
        <v>986</v>
      </c>
      <c r="F52" s="101" t="s">
        <v>147</v>
      </c>
      <c r="G52" s="102" t="s">
        <v>889</v>
      </c>
      <c r="H52" s="90"/>
      <c r="I52" s="90"/>
      <c r="J52" s="90"/>
      <c r="K52" s="90"/>
      <c r="L52" s="90"/>
    </row>
    <row r="53" spans="1:12" ht="19.5" customHeight="1" x14ac:dyDescent="0.2">
      <c r="A53" s="85">
        <v>5</v>
      </c>
      <c r="B53" s="85">
        <v>3267</v>
      </c>
      <c r="C53" s="86"/>
      <c r="D53" s="87" t="s">
        <v>194</v>
      </c>
      <c r="E53" s="101" t="s">
        <v>987</v>
      </c>
      <c r="F53" s="101" t="s">
        <v>988</v>
      </c>
      <c r="G53" s="102" t="s">
        <v>889</v>
      </c>
      <c r="H53" s="90"/>
      <c r="I53" s="90"/>
      <c r="J53" s="90"/>
      <c r="K53" s="90"/>
      <c r="L53" s="90"/>
    </row>
    <row r="54" spans="1:12" ht="19.5" customHeight="1" x14ac:dyDescent="0.2">
      <c r="A54" s="85">
        <v>6</v>
      </c>
      <c r="B54" s="85">
        <v>3270</v>
      </c>
      <c r="C54" s="86" t="s">
        <v>74</v>
      </c>
      <c r="D54" s="87" t="s">
        <v>194</v>
      </c>
      <c r="E54" s="101" t="s">
        <v>958</v>
      </c>
      <c r="F54" s="101" t="s">
        <v>619</v>
      </c>
      <c r="G54" s="102" t="s">
        <v>889</v>
      </c>
      <c r="H54" s="90"/>
      <c r="I54" s="90"/>
      <c r="J54" s="90"/>
      <c r="K54" s="90"/>
      <c r="L54" s="90"/>
    </row>
    <row r="55" spans="1:12" ht="19.5" customHeight="1" x14ac:dyDescent="0.2">
      <c r="A55" s="85">
        <v>7</v>
      </c>
      <c r="B55" s="85">
        <v>3273</v>
      </c>
      <c r="C55" s="86" t="s">
        <v>76</v>
      </c>
      <c r="D55" s="87" t="s">
        <v>194</v>
      </c>
      <c r="E55" s="101" t="s">
        <v>960</v>
      </c>
      <c r="F55" s="101" t="s">
        <v>559</v>
      </c>
      <c r="G55" s="102" t="s">
        <v>889</v>
      </c>
      <c r="H55" s="90"/>
      <c r="I55" s="90"/>
      <c r="J55" s="90"/>
      <c r="K55" s="90"/>
      <c r="L55" s="90"/>
    </row>
    <row r="56" spans="1:12" ht="19.5" customHeight="1" x14ac:dyDescent="0.2">
      <c r="A56" s="85">
        <v>8</v>
      </c>
      <c r="B56" s="85">
        <v>3275</v>
      </c>
      <c r="C56" s="86" t="s">
        <v>91</v>
      </c>
      <c r="D56" s="87" t="s">
        <v>194</v>
      </c>
      <c r="E56" s="101" t="s">
        <v>984</v>
      </c>
      <c r="F56" s="101" t="s">
        <v>103</v>
      </c>
      <c r="G56" s="102" t="s">
        <v>889</v>
      </c>
      <c r="H56" s="90"/>
      <c r="I56" s="90"/>
      <c r="J56" s="90"/>
      <c r="K56" s="90"/>
      <c r="L56" s="90"/>
    </row>
    <row r="57" spans="1:12" ht="19.5" customHeight="1" x14ac:dyDescent="0.2">
      <c r="A57" s="85">
        <v>9</v>
      </c>
      <c r="B57" s="85">
        <v>3277</v>
      </c>
      <c r="C57" s="86" t="s">
        <v>87</v>
      </c>
      <c r="D57" s="87" t="s">
        <v>194</v>
      </c>
      <c r="E57" s="101" t="s">
        <v>980</v>
      </c>
      <c r="F57" s="101" t="s">
        <v>225</v>
      </c>
      <c r="G57" s="102" t="s">
        <v>889</v>
      </c>
      <c r="H57" s="90"/>
      <c r="I57" s="90"/>
      <c r="J57" s="90"/>
      <c r="K57" s="90"/>
      <c r="L57" s="90"/>
    </row>
    <row r="58" spans="1:12" ht="19.5" customHeight="1" x14ac:dyDescent="0.2">
      <c r="A58" s="85">
        <v>10</v>
      </c>
      <c r="B58" s="85">
        <v>3278</v>
      </c>
      <c r="C58" s="86" t="s">
        <v>92</v>
      </c>
      <c r="D58" s="87" t="s">
        <v>194</v>
      </c>
      <c r="E58" s="101" t="s">
        <v>985</v>
      </c>
      <c r="F58" s="101" t="s">
        <v>103</v>
      </c>
      <c r="G58" s="102" t="s">
        <v>889</v>
      </c>
      <c r="H58" s="90"/>
      <c r="I58" s="90"/>
      <c r="J58" s="90"/>
      <c r="K58" s="90"/>
      <c r="L58" s="90"/>
    </row>
    <row r="59" spans="1:12" ht="19.5" customHeight="1" x14ac:dyDescent="0.2">
      <c r="A59" s="85">
        <v>11</v>
      </c>
      <c r="B59" s="85">
        <v>3279</v>
      </c>
      <c r="C59" s="86"/>
      <c r="D59" s="87" t="s">
        <v>194</v>
      </c>
      <c r="E59" s="101" t="s">
        <v>962</v>
      </c>
      <c r="F59" s="101" t="s">
        <v>103</v>
      </c>
      <c r="G59" s="102" t="s">
        <v>889</v>
      </c>
      <c r="H59" s="90"/>
      <c r="I59" s="90"/>
      <c r="J59" s="90"/>
      <c r="K59" s="90"/>
      <c r="L59" s="90"/>
    </row>
    <row r="60" spans="1:12" ht="19.5" customHeight="1" x14ac:dyDescent="0.2">
      <c r="A60" s="85">
        <v>12</v>
      </c>
      <c r="B60" s="85">
        <v>3281</v>
      </c>
      <c r="C60" s="86" t="s">
        <v>89</v>
      </c>
      <c r="D60" s="87" t="s">
        <v>194</v>
      </c>
      <c r="E60" s="101" t="s">
        <v>982</v>
      </c>
      <c r="F60" s="101" t="s">
        <v>103</v>
      </c>
      <c r="G60" s="102" t="s">
        <v>889</v>
      </c>
      <c r="H60" s="90"/>
      <c r="I60" s="90"/>
      <c r="J60" s="90"/>
      <c r="K60" s="90"/>
      <c r="L60" s="90"/>
    </row>
    <row r="61" spans="1:12" ht="19.5" customHeight="1" x14ac:dyDescent="0.2">
      <c r="A61" s="85">
        <v>13</v>
      </c>
      <c r="B61" s="85">
        <v>3284</v>
      </c>
      <c r="C61" s="86" t="s">
        <v>75</v>
      </c>
      <c r="D61" s="87" t="s">
        <v>194</v>
      </c>
      <c r="E61" s="101" t="s">
        <v>959</v>
      </c>
      <c r="F61" s="101" t="s">
        <v>348</v>
      </c>
      <c r="G61" s="102" t="s">
        <v>889</v>
      </c>
      <c r="H61" s="90"/>
      <c r="I61" s="90"/>
      <c r="J61" s="90"/>
      <c r="K61" s="90"/>
      <c r="L61" s="90"/>
    </row>
    <row r="62" spans="1:12" ht="19.5" customHeight="1" x14ac:dyDescent="0.2">
      <c r="A62" s="85">
        <v>14</v>
      </c>
      <c r="B62" s="85">
        <v>3285</v>
      </c>
      <c r="C62" s="86" t="s">
        <v>90</v>
      </c>
      <c r="D62" s="87" t="s">
        <v>194</v>
      </c>
      <c r="E62" s="101" t="s">
        <v>983</v>
      </c>
      <c r="F62" s="101" t="s">
        <v>103</v>
      </c>
      <c r="G62" s="102" t="s">
        <v>889</v>
      </c>
      <c r="H62" s="90"/>
      <c r="I62" s="90"/>
      <c r="J62" s="90"/>
      <c r="K62" s="90"/>
      <c r="L62" s="90"/>
    </row>
    <row r="63" spans="1:12" ht="19.5" customHeight="1" x14ac:dyDescent="0.2">
      <c r="A63" s="85">
        <v>15</v>
      </c>
      <c r="B63" s="85">
        <v>3289</v>
      </c>
      <c r="C63" s="86" t="s">
        <v>79</v>
      </c>
      <c r="D63" s="87" t="s">
        <v>185</v>
      </c>
      <c r="E63" s="101" t="s">
        <v>965</v>
      </c>
      <c r="F63" s="101" t="s">
        <v>966</v>
      </c>
      <c r="G63" s="102" t="s">
        <v>889</v>
      </c>
      <c r="H63" s="90"/>
      <c r="I63" s="90"/>
      <c r="J63" s="90"/>
      <c r="K63" s="90"/>
      <c r="L63" s="90"/>
    </row>
    <row r="64" spans="1:12" ht="19.5" customHeight="1" x14ac:dyDescent="0.2">
      <c r="A64" s="85">
        <v>16</v>
      </c>
      <c r="B64" s="85">
        <v>3291</v>
      </c>
      <c r="C64" s="86" t="s">
        <v>82</v>
      </c>
      <c r="D64" s="87" t="s">
        <v>185</v>
      </c>
      <c r="E64" s="101" t="s">
        <v>970</v>
      </c>
      <c r="F64" s="101" t="s">
        <v>971</v>
      </c>
      <c r="G64" s="102" t="s">
        <v>889</v>
      </c>
      <c r="H64" s="90"/>
      <c r="I64" s="90"/>
      <c r="J64" s="90"/>
      <c r="K64" s="90"/>
      <c r="L64" s="90"/>
    </row>
    <row r="65" spans="1:12" ht="19.5" customHeight="1" x14ac:dyDescent="0.2">
      <c r="A65" s="85">
        <v>17</v>
      </c>
      <c r="B65" s="85">
        <v>3292</v>
      </c>
      <c r="C65" s="86"/>
      <c r="D65" s="87" t="s">
        <v>185</v>
      </c>
      <c r="E65" s="101" t="s">
        <v>997</v>
      </c>
      <c r="F65" s="101" t="s">
        <v>103</v>
      </c>
      <c r="G65" s="102" t="s">
        <v>889</v>
      </c>
      <c r="H65" s="90"/>
      <c r="I65" s="90"/>
      <c r="J65" s="90"/>
      <c r="K65" s="90"/>
      <c r="L65" s="90"/>
    </row>
    <row r="66" spans="1:12" ht="19.5" customHeight="1" x14ac:dyDescent="0.2">
      <c r="A66" s="85">
        <v>18</v>
      </c>
      <c r="B66" s="85">
        <v>3293</v>
      </c>
      <c r="C66" s="86" t="s">
        <v>95</v>
      </c>
      <c r="D66" s="87" t="s">
        <v>185</v>
      </c>
      <c r="E66" s="101" t="s">
        <v>991</v>
      </c>
      <c r="F66" s="101" t="s">
        <v>453</v>
      </c>
      <c r="G66" s="102" t="s">
        <v>889</v>
      </c>
      <c r="H66" s="90"/>
      <c r="I66" s="90"/>
      <c r="J66" s="90"/>
      <c r="K66" s="90"/>
      <c r="L66" s="90"/>
    </row>
    <row r="67" spans="1:12" ht="19.5" customHeight="1" x14ac:dyDescent="0.2">
      <c r="A67" s="85">
        <v>19</v>
      </c>
      <c r="B67" s="85">
        <v>3295</v>
      </c>
      <c r="C67" s="86" t="s">
        <v>78</v>
      </c>
      <c r="D67" s="87" t="s">
        <v>185</v>
      </c>
      <c r="E67" s="101" t="s">
        <v>964</v>
      </c>
      <c r="F67" s="101" t="s">
        <v>242</v>
      </c>
      <c r="G67" s="102" t="s">
        <v>889</v>
      </c>
      <c r="H67" s="90"/>
      <c r="I67" s="90"/>
      <c r="J67" s="90"/>
      <c r="K67" s="90"/>
      <c r="L67" s="90"/>
    </row>
    <row r="68" spans="1:12" ht="19.5" customHeight="1" x14ac:dyDescent="0.2">
      <c r="A68" s="85">
        <v>20</v>
      </c>
      <c r="B68" s="85">
        <v>3297</v>
      </c>
      <c r="C68" s="86" t="s">
        <v>94</v>
      </c>
      <c r="D68" s="87" t="s">
        <v>185</v>
      </c>
      <c r="E68" s="101" t="s">
        <v>990</v>
      </c>
      <c r="F68" s="101" t="s">
        <v>126</v>
      </c>
      <c r="G68" s="102" t="s">
        <v>889</v>
      </c>
      <c r="H68" s="90"/>
      <c r="I68" s="90"/>
      <c r="J68" s="90"/>
      <c r="K68" s="90"/>
      <c r="L68" s="90"/>
    </row>
    <row r="69" spans="1:12" ht="19.5" customHeight="1" x14ac:dyDescent="0.2">
      <c r="A69" s="85">
        <v>21</v>
      </c>
      <c r="B69" s="85">
        <v>3298</v>
      </c>
      <c r="C69" s="86"/>
      <c r="D69" s="87" t="s">
        <v>185</v>
      </c>
      <c r="E69" s="101" t="s">
        <v>979</v>
      </c>
      <c r="F69" s="101" t="s">
        <v>103</v>
      </c>
      <c r="G69" s="102" t="s">
        <v>889</v>
      </c>
      <c r="H69" s="90"/>
      <c r="I69" s="90"/>
      <c r="J69" s="90"/>
      <c r="K69" s="90"/>
      <c r="L69" s="90"/>
    </row>
    <row r="70" spans="1:12" ht="19.5" customHeight="1" x14ac:dyDescent="0.2">
      <c r="A70" s="85">
        <v>22</v>
      </c>
      <c r="B70" s="85">
        <v>3300</v>
      </c>
      <c r="C70" s="86"/>
      <c r="D70" s="87" t="s">
        <v>185</v>
      </c>
      <c r="E70" s="101" t="s">
        <v>977</v>
      </c>
      <c r="F70" s="101" t="s">
        <v>103</v>
      </c>
      <c r="G70" s="102" t="s">
        <v>889</v>
      </c>
      <c r="H70" s="90"/>
      <c r="I70" s="90"/>
      <c r="J70" s="90"/>
      <c r="K70" s="90"/>
      <c r="L70" s="90"/>
    </row>
    <row r="71" spans="1:12" ht="19.5" customHeight="1" x14ac:dyDescent="0.2">
      <c r="A71" s="85">
        <v>23</v>
      </c>
      <c r="B71" s="85">
        <v>3301</v>
      </c>
      <c r="C71" s="86" t="s">
        <v>98</v>
      </c>
      <c r="D71" s="87" t="s">
        <v>185</v>
      </c>
      <c r="E71" s="101" t="s">
        <v>995</v>
      </c>
      <c r="F71" s="101" t="s">
        <v>103</v>
      </c>
      <c r="G71" s="102" t="s">
        <v>889</v>
      </c>
      <c r="H71" s="90"/>
      <c r="I71" s="90"/>
      <c r="J71" s="90"/>
      <c r="K71" s="90"/>
      <c r="L71" s="90"/>
    </row>
    <row r="72" spans="1:12" ht="19.5" customHeight="1" x14ac:dyDescent="0.2">
      <c r="A72" s="85">
        <v>24</v>
      </c>
      <c r="B72" s="85">
        <v>3303</v>
      </c>
      <c r="C72" s="86" t="s">
        <v>99</v>
      </c>
      <c r="D72" s="87" t="s">
        <v>185</v>
      </c>
      <c r="E72" s="101" t="s">
        <v>996</v>
      </c>
      <c r="F72" s="101" t="s">
        <v>103</v>
      </c>
      <c r="G72" s="102" t="s">
        <v>889</v>
      </c>
      <c r="H72" s="90"/>
      <c r="I72" s="90"/>
      <c r="J72" s="90"/>
      <c r="K72" s="90"/>
      <c r="L72" s="90"/>
    </row>
    <row r="73" spans="1:12" ht="19.5" customHeight="1" x14ac:dyDescent="0.2">
      <c r="A73" s="85">
        <v>25</v>
      </c>
      <c r="B73" s="85">
        <v>3304</v>
      </c>
      <c r="C73" s="86"/>
      <c r="D73" s="87" t="s">
        <v>185</v>
      </c>
      <c r="E73" s="101" t="s">
        <v>978</v>
      </c>
      <c r="F73" s="101" t="s">
        <v>103</v>
      </c>
      <c r="G73" s="102" t="s">
        <v>889</v>
      </c>
      <c r="H73" s="90"/>
      <c r="I73" s="90"/>
      <c r="J73" s="90"/>
      <c r="K73" s="90"/>
      <c r="L73" s="90"/>
    </row>
    <row r="74" spans="1:12" ht="19.5" customHeight="1" x14ac:dyDescent="0.2">
      <c r="A74" s="85">
        <v>26</v>
      </c>
      <c r="B74" s="85">
        <v>3308</v>
      </c>
      <c r="C74" s="86" t="s">
        <v>85</v>
      </c>
      <c r="D74" s="87" t="s">
        <v>185</v>
      </c>
      <c r="E74" s="101" t="s">
        <v>975</v>
      </c>
      <c r="F74" s="101" t="s">
        <v>103</v>
      </c>
      <c r="G74" s="102" t="s">
        <v>889</v>
      </c>
      <c r="H74" s="90"/>
      <c r="I74" s="90"/>
      <c r="J74" s="90"/>
      <c r="K74" s="90"/>
      <c r="L74" s="90"/>
    </row>
    <row r="75" spans="1:12" ht="19.5" customHeight="1" x14ac:dyDescent="0.2">
      <c r="A75" s="85">
        <v>27</v>
      </c>
      <c r="B75" s="85">
        <v>3309</v>
      </c>
      <c r="C75" s="86" t="s">
        <v>83</v>
      </c>
      <c r="D75" s="87" t="s">
        <v>185</v>
      </c>
      <c r="E75" s="101" t="s">
        <v>972</v>
      </c>
      <c r="F75" s="101" t="s">
        <v>103</v>
      </c>
      <c r="G75" s="102" t="s">
        <v>889</v>
      </c>
      <c r="H75" s="90"/>
      <c r="I75" s="90"/>
      <c r="J75" s="90"/>
      <c r="K75" s="90"/>
      <c r="L75" s="90"/>
    </row>
    <row r="76" spans="1:12" ht="19.5" customHeight="1" x14ac:dyDescent="0.2">
      <c r="A76" s="85">
        <v>28</v>
      </c>
      <c r="B76" s="85">
        <v>3310</v>
      </c>
      <c r="C76" s="86" t="s">
        <v>96</v>
      </c>
      <c r="D76" s="87" t="s">
        <v>185</v>
      </c>
      <c r="E76" s="101" t="s">
        <v>992</v>
      </c>
      <c r="F76" s="101" t="s">
        <v>575</v>
      </c>
      <c r="G76" s="102" t="s">
        <v>889</v>
      </c>
      <c r="H76" s="90"/>
      <c r="I76" s="90"/>
      <c r="J76" s="90"/>
      <c r="K76" s="90"/>
      <c r="L76" s="90"/>
    </row>
    <row r="77" spans="1:12" ht="19.5" customHeight="1" x14ac:dyDescent="0.2">
      <c r="A77" s="85">
        <v>29</v>
      </c>
      <c r="B77" s="85">
        <v>3316</v>
      </c>
      <c r="C77" s="86" t="s">
        <v>80</v>
      </c>
      <c r="D77" s="87" t="s">
        <v>185</v>
      </c>
      <c r="E77" s="101" t="s">
        <v>967</v>
      </c>
      <c r="F77" s="101" t="s">
        <v>175</v>
      </c>
      <c r="G77" s="102" t="s">
        <v>889</v>
      </c>
      <c r="H77" s="90"/>
      <c r="I77" s="90"/>
      <c r="J77" s="90"/>
      <c r="K77" s="90"/>
      <c r="L77" s="90"/>
    </row>
    <row r="78" spans="1:12" ht="19.5" customHeight="1" x14ac:dyDescent="0.2">
      <c r="A78" s="85">
        <v>30</v>
      </c>
      <c r="B78" s="85">
        <v>3317</v>
      </c>
      <c r="C78" s="86" t="s">
        <v>86</v>
      </c>
      <c r="D78" s="87" t="s">
        <v>185</v>
      </c>
      <c r="E78" s="101" t="s">
        <v>976</v>
      </c>
      <c r="F78" s="101" t="s">
        <v>103</v>
      </c>
      <c r="G78" s="102" t="s">
        <v>889</v>
      </c>
      <c r="H78" s="90"/>
      <c r="I78" s="90"/>
      <c r="J78" s="90"/>
      <c r="K78" s="90"/>
      <c r="L78" s="90"/>
    </row>
    <row r="79" spans="1:12" ht="19.5" customHeight="1" x14ac:dyDescent="0.2">
      <c r="A79" s="85">
        <v>31</v>
      </c>
      <c r="B79" s="85">
        <v>3318</v>
      </c>
      <c r="C79" s="86" t="s">
        <v>81</v>
      </c>
      <c r="D79" s="87" t="s">
        <v>185</v>
      </c>
      <c r="E79" s="101" t="s">
        <v>968</v>
      </c>
      <c r="F79" s="101" t="s">
        <v>969</v>
      </c>
      <c r="G79" s="102" t="s">
        <v>889</v>
      </c>
      <c r="H79" s="90"/>
      <c r="I79" s="90"/>
      <c r="J79" s="90"/>
      <c r="K79" s="90"/>
      <c r="L79" s="90"/>
    </row>
    <row r="80" spans="1:12" ht="19.5" customHeight="1" x14ac:dyDescent="0.2">
      <c r="A80" s="85">
        <v>32</v>
      </c>
      <c r="B80" s="85">
        <v>3319</v>
      </c>
      <c r="C80" s="86" t="s">
        <v>84</v>
      </c>
      <c r="D80" s="87" t="s">
        <v>185</v>
      </c>
      <c r="E80" s="101" t="s">
        <v>973</v>
      </c>
      <c r="F80" s="101" t="s">
        <v>974</v>
      </c>
      <c r="G80" s="102" t="s">
        <v>889</v>
      </c>
      <c r="H80" s="90"/>
      <c r="I80" s="90"/>
      <c r="J80" s="90"/>
      <c r="K80" s="90"/>
      <c r="L80" s="90"/>
    </row>
    <row r="81" spans="1:12" ht="19.5" customHeight="1" x14ac:dyDescent="0.2">
      <c r="A81" s="85">
        <v>33</v>
      </c>
      <c r="B81" s="85">
        <v>3320</v>
      </c>
      <c r="C81" s="86" t="s">
        <v>97</v>
      </c>
      <c r="D81" s="87" t="s">
        <v>185</v>
      </c>
      <c r="E81" s="101" t="s">
        <v>993</v>
      </c>
      <c r="F81" s="101" t="s">
        <v>994</v>
      </c>
      <c r="G81" s="102" t="s">
        <v>889</v>
      </c>
      <c r="H81" s="90"/>
      <c r="I81" s="90"/>
      <c r="J81" s="90"/>
      <c r="K81" s="90"/>
      <c r="L81" s="90"/>
    </row>
    <row r="82" spans="1:12" ht="19.5" customHeight="1" x14ac:dyDescent="0.2">
      <c r="A82" s="85">
        <v>34</v>
      </c>
      <c r="B82" s="85">
        <v>3321</v>
      </c>
      <c r="C82" s="86"/>
      <c r="D82" s="87" t="s">
        <v>185</v>
      </c>
      <c r="E82" s="101" t="s">
        <v>998</v>
      </c>
      <c r="F82" s="101" t="s">
        <v>999</v>
      </c>
      <c r="G82" s="102" t="s">
        <v>889</v>
      </c>
      <c r="H82" s="90"/>
      <c r="I82" s="82"/>
      <c r="J82" s="90"/>
      <c r="K82" s="82"/>
      <c r="L82" s="90"/>
    </row>
    <row r="83" spans="1:12" ht="19.5" customHeight="1" x14ac:dyDescent="0.2">
      <c r="A83" s="85">
        <v>35</v>
      </c>
      <c r="B83" s="85">
        <v>3324</v>
      </c>
      <c r="C83" s="86" t="s">
        <v>93</v>
      </c>
      <c r="D83" s="87" t="s">
        <v>185</v>
      </c>
      <c r="E83" s="101" t="s">
        <v>989</v>
      </c>
      <c r="F83" s="101" t="s">
        <v>171</v>
      </c>
      <c r="G83" s="102" t="s">
        <v>889</v>
      </c>
      <c r="H83" s="90"/>
      <c r="I83" s="82"/>
      <c r="J83" s="90"/>
      <c r="K83" s="82"/>
      <c r="L83" s="90"/>
    </row>
    <row r="84" spans="1:12" ht="19.5" customHeight="1" x14ac:dyDescent="0.2">
      <c r="A84" s="85"/>
      <c r="B84" s="85"/>
      <c r="C84" s="86"/>
      <c r="D84" s="87"/>
      <c r="E84" s="101"/>
      <c r="F84" s="101"/>
      <c r="G84" s="102"/>
      <c r="H84" s="82"/>
      <c r="I84" s="90"/>
      <c r="J84" s="82"/>
      <c r="K84" s="90"/>
      <c r="L84" s="100"/>
    </row>
    <row r="85" spans="1:12" ht="19.5" customHeight="1" x14ac:dyDescent="0.2">
      <c r="A85" s="234" t="s">
        <v>890</v>
      </c>
      <c r="B85" s="235"/>
      <c r="C85" s="235"/>
      <c r="D85" s="235"/>
      <c r="E85" s="235"/>
      <c r="F85" s="235"/>
      <c r="G85" s="235"/>
      <c r="H85" s="235"/>
      <c r="I85" s="235"/>
      <c r="J85" s="235"/>
      <c r="K85" s="235"/>
      <c r="L85" s="235"/>
    </row>
    <row r="86" spans="1:12" ht="19.5" customHeight="1" x14ac:dyDescent="0.2">
      <c r="A86" s="233" t="str">
        <f>A44</f>
        <v>ร่าง-รายชื่อนักเรียนปีการศึกษา 1/2569</v>
      </c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</row>
    <row r="87" spans="1:12" ht="19.5" customHeight="1" x14ac:dyDescent="0.2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</row>
    <row r="88" spans="1:12" ht="19.5" customHeight="1" x14ac:dyDescent="0.2">
      <c r="A88" s="236" t="s">
        <v>1040</v>
      </c>
      <c r="B88" s="236"/>
      <c r="C88" s="236"/>
      <c r="D88" s="237" t="s">
        <v>1042</v>
      </c>
      <c r="E88" s="237"/>
      <c r="F88" s="237"/>
      <c r="G88" s="237"/>
      <c r="H88" s="237"/>
      <c r="I88" s="237"/>
      <c r="J88" s="237"/>
      <c r="K88" s="237"/>
      <c r="L88" s="237"/>
    </row>
    <row r="89" spans="1:12" ht="19.5" customHeight="1" x14ac:dyDescent="0.2">
      <c r="A89" s="103"/>
      <c r="B89" s="103"/>
      <c r="C89" s="104"/>
      <c r="D89" s="80"/>
      <c r="E89" s="80"/>
      <c r="F89" s="105"/>
      <c r="G89" s="103"/>
      <c r="H89" s="103"/>
      <c r="I89" s="103"/>
      <c r="J89" s="103"/>
      <c r="K89" s="103"/>
      <c r="L89" s="103"/>
    </row>
    <row r="90" spans="1:12" ht="19.5" customHeight="1" x14ac:dyDescent="0.2">
      <c r="A90" s="82" t="s">
        <v>43</v>
      </c>
      <c r="B90" s="82" t="s">
        <v>44</v>
      </c>
      <c r="C90" s="83" t="s">
        <v>45</v>
      </c>
      <c r="D90" s="238" t="s">
        <v>892</v>
      </c>
      <c r="E90" s="239"/>
      <c r="F90" s="239"/>
      <c r="G90" s="84"/>
      <c r="H90" s="84"/>
      <c r="I90" s="84"/>
      <c r="J90" s="84"/>
      <c r="K90" s="84"/>
      <c r="L90" s="84"/>
    </row>
    <row r="91" spans="1:12" ht="19.5" customHeight="1" x14ac:dyDescent="0.2">
      <c r="A91" s="85">
        <v>1</v>
      </c>
      <c r="B91" s="85">
        <v>3200</v>
      </c>
      <c r="C91" s="86" t="s">
        <v>100</v>
      </c>
      <c r="D91" s="101" t="s">
        <v>101</v>
      </c>
      <c r="E91" s="101" t="s">
        <v>102</v>
      </c>
      <c r="F91" s="101" t="s">
        <v>103</v>
      </c>
      <c r="G91" s="102"/>
      <c r="H91" s="90"/>
      <c r="I91" s="90"/>
      <c r="J91" s="90"/>
      <c r="K91" s="90"/>
      <c r="L91" s="90"/>
    </row>
    <row r="92" spans="1:12" ht="19.5" customHeight="1" x14ac:dyDescent="0.2">
      <c r="A92" s="85">
        <v>2</v>
      </c>
      <c r="B92" s="85">
        <v>3201</v>
      </c>
      <c r="C92" s="86" t="s">
        <v>104</v>
      </c>
      <c r="D92" s="101" t="s">
        <v>101</v>
      </c>
      <c r="E92" s="101" t="s">
        <v>105</v>
      </c>
      <c r="F92" s="101" t="s">
        <v>103</v>
      </c>
      <c r="G92" s="84"/>
      <c r="H92" s="90"/>
      <c r="I92" s="90"/>
      <c r="J92" s="90"/>
      <c r="K92" s="90"/>
      <c r="L92" s="90"/>
    </row>
    <row r="93" spans="1:12" ht="19.5" customHeight="1" x14ac:dyDescent="0.2">
      <c r="A93" s="85">
        <v>3</v>
      </c>
      <c r="B93" s="85">
        <v>3202</v>
      </c>
      <c r="C93" s="86" t="s">
        <v>106</v>
      </c>
      <c r="D93" s="101" t="s">
        <v>101</v>
      </c>
      <c r="E93" s="101" t="s">
        <v>107</v>
      </c>
      <c r="F93" s="101" t="s">
        <v>103</v>
      </c>
      <c r="G93" s="84"/>
      <c r="H93" s="90"/>
      <c r="I93" s="90"/>
      <c r="J93" s="90"/>
      <c r="K93" s="90"/>
      <c r="L93" s="90"/>
    </row>
    <row r="94" spans="1:12" ht="19.5" customHeight="1" x14ac:dyDescent="0.2">
      <c r="A94" s="85">
        <v>4</v>
      </c>
      <c r="B94" s="85">
        <v>3212</v>
      </c>
      <c r="C94" s="91">
        <v>1571500152271</v>
      </c>
      <c r="D94" s="101" t="s">
        <v>101</v>
      </c>
      <c r="E94" s="101" t="s">
        <v>108</v>
      </c>
      <c r="F94" s="101" t="s">
        <v>109</v>
      </c>
      <c r="G94" s="84"/>
      <c r="H94" s="90"/>
      <c r="I94" s="90"/>
      <c r="J94" s="90"/>
      <c r="K94" s="90"/>
      <c r="L94" s="90"/>
    </row>
    <row r="95" spans="1:12" ht="19.5" customHeight="1" x14ac:dyDescent="0.2">
      <c r="A95" s="85">
        <v>5</v>
      </c>
      <c r="B95" s="85">
        <v>3213</v>
      </c>
      <c r="C95" s="86">
        <v>571500018118</v>
      </c>
      <c r="D95" s="101" t="s">
        <v>101</v>
      </c>
      <c r="E95" s="101" t="s">
        <v>110</v>
      </c>
      <c r="F95" s="101" t="s">
        <v>103</v>
      </c>
      <c r="G95" s="84"/>
      <c r="H95" s="90"/>
      <c r="I95" s="90"/>
      <c r="J95" s="90"/>
      <c r="K95" s="90"/>
      <c r="L95" s="90"/>
    </row>
    <row r="96" spans="1:12" ht="19.5" customHeight="1" x14ac:dyDescent="0.2">
      <c r="A96" s="85">
        <v>6</v>
      </c>
      <c r="B96" s="85">
        <v>3214</v>
      </c>
      <c r="C96" s="86">
        <v>1579902051441</v>
      </c>
      <c r="D96" s="101" t="s">
        <v>101</v>
      </c>
      <c r="E96" s="101" t="s">
        <v>111</v>
      </c>
      <c r="F96" s="120" t="s">
        <v>112</v>
      </c>
      <c r="G96" s="84"/>
      <c r="H96" s="90"/>
      <c r="I96" s="90"/>
      <c r="J96" s="90"/>
      <c r="K96" s="90"/>
      <c r="L96" s="90"/>
    </row>
    <row r="97" spans="1:12" ht="19.5" customHeight="1" x14ac:dyDescent="0.2">
      <c r="A97" s="85">
        <v>7</v>
      </c>
      <c r="B97" s="85">
        <v>3216</v>
      </c>
      <c r="C97" s="91" t="s">
        <v>113</v>
      </c>
      <c r="D97" s="101" t="s">
        <v>101</v>
      </c>
      <c r="E97" s="101" t="s">
        <v>114</v>
      </c>
      <c r="F97" s="101" t="s">
        <v>103</v>
      </c>
      <c r="G97" s="84"/>
      <c r="H97" s="90"/>
      <c r="I97" s="90"/>
      <c r="J97" s="90"/>
      <c r="K97" s="90"/>
      <c r="L97" s="90"/>
    </row>
    <row r="98" spans="1:12" ht="19.5" customHeight="1" x14ac:dyDescent="0.2">
      <c r="A98" s="85">
        <v>8</v>
      </c>
      <c r="B98" s="85">
        <v>3218</v>
      </c>
      <c r="C98" s="92">
        <v>571500018126</v>
      </c>
      <c r="D98" s="106" t="s">
        <v>101</v>
      </c>
      <c r="E98" s="90" t="s">
        <v>115</v>
      </c>
      <c r="F98" s="90" t="s">
        <v>116</v>
      </c>
      <c r="G98" s="84"/>
      <c r="H98" s="90"/>
      <c r="I98" s="90"/>
      <c r="J98" s="90"/>
      <c r="K98" s="90"/>
      <c r="L98" s="90"/>
    </row>
    <row r="99" spans="1:12" ht="19.5" customHeight="1" x14ac:dyDescent="0.2">
      <c r="A99" s="85">
        <v>9</v>
      </c>
      <c r="B99" s="85">
        <v>3222</v>
      </c>
      <c r="C99" s="91">
        <v>571500014775</v>
      </c>
      <c r="D99" s="101" t="s">
        <v>101</v>
      </c>
      <c r="E99" s="101" t="s">
        <v>117</v>
      </c>
      <c r="F99" s="101" t="s">
        <v>118</v>
      </c>
      <c r="G99" s="84"/>
      <c r="H99" s="90"/>
      <c r="I99" s="90"/>
      <c r="J99" s="90"/>
      <c r="K99" s="90"/>
      <c r="L99" s="90"/>
    </row>
    <row r="100" spans="1:12" ht="19.5" customHeight="1" x14ac:dyDescent="0.2">
      <c r="A100" s="85">
        <v>10</v>
      </c>
      <c r="B100" s="85">
        <v>3223</v>
      </c>
      <c r="C100" s="86" t="s">
        <v>119</v>
      </c>
      <c r="D100" s="101" t="s">
        <v>101</v>
      </c>
      <c r="E100" s="101" t="s">
        <v>120</v>
      </c>
      <c r="F100" s="101" t="s">
        <v>103</v>
      </c>
      <c r="G100" s="84"/>
      <c r="H100" s="90"/>
      <c r="I100" s="90"/>
      <c r="J100" s="90"/>
      <c r="K100" s="90"/>
      <c r="L100" s="90"/>
    </row>
    <row r="101" spans="1:12" ht="19.5" customHeight="1" x14ac:dyDescent="0.2">
      <c r="A101" s="85">
        <v>11</v>
      </c>
      <c r="B101" s="85">
        <v>3239</v>
      </c>
      <c r="C101" s="86">
        <v>7571500122427</v>
      </c>
      <c r="D101" s="101" t="s">
        <v>121</v>
      </c>
      <c r="E101" s="101" t="s">
        <v>122</v>
      </c>
      <c r="F101" s="101" t="s">
        <v>103</v>
      </c>
      <c r="G101" s="84"/>
      <c r="H101" s="90"/>
      <c r="I101" s="90"/>
      <c r="J101" s="90"/>
      <c r="K101" s="90"/>
      <c r="L101" s="90"/>
    </row>
    <row r="102" spans="1:12" ht="19.5" customHeight="1" x14ac:dyDescent="0.2">
      <c r="A102" s="85">
        <v>12</v>
      </c>
      <c r="B102" s="85">
        <v>3242</v>
      </c>
      <c r="C102" s="86">
        <v>1571500152386</v>
      </c>
      <c r="D102" s="101" t="s">
        <v>121</v>
      </c>
      <c r="E102" s="101" t="s">
        <v>123</v>
      </c>
      <c r="F102" s="101" t="s">
        <v>124</v>
      </c>
      <c r="G102" s="84"/>
      <c r="H102" s="90"/>
      <c r="I102" s="90"/>
      <c r="J102" s="90"/>
      <c r="K102" s="90"/>
      <c r="L102" s="90"/>
    </row>
    <row r="103" spans="1:12" ht="19.5" customHeight="1" x14ac:dyDescent="0.2">
      <c r="A103" s="85">
        <v>13</v>
      </c>
      <c r="B103" s="85">
        <v>3243</v>
      </c>
      <c r="C103" s="86">
        <v>1571500151177</v>
      </c>
      <c r="D103" s="101" t="s">
        <v>121</v>
      </c>
      <c r="E103" s="101" t="s">
        <v>125</v>
      </c>
      <c r="F103" s="101" t="s">
        <v>126</v>
      </c>
      <c r="G103" s="84"/>
      <c r="H103" s="90"/>
      <c r="I103" s="90"/>
      <c r="J103" s="90"/>
      <c r="K103" s="90"/>
      <c r="L103" s="90"/>
    </row>
    <row r="104" spans="1:12" ht="19.5" customHeight="1" x14ac:dyDescent="0.2">
      <c r="A104" s="85">
        <v>14</v>
      </c>
      <c r="B104" s="85">
        <v>3228</v>
      </c>
      <c r="C104" s="86">
        <v>1571500151622</v>
      </c>
      <c r="D104" s="101" t="s">
        <v>121</v>
      </c>
      <c r="E104" s="101" t="s">
        <v>127</v>
      </c>
      <c r="F104" s="101" t="s">
        <v>128</v>
      </c>
      <c r="G104" s="84"/>
      <c r="H104" s="90"/>
      <c r="I104" s="90"/>
      <c r="J104" s="90"/>
      <c r="K104" s="90"/>
      <c r="L104" s="90"/>
    </row>
    <row r="105" spans="1:12" ht="19.5" customHeight="1" x14ac:dyDescent="0.2">
      <c r="A105" s="85">
        <v>15</v>
      </c>
      <c r="B105" s="85">
        <v>3233</v>
      </c>
      <c r="C105" s="86" t="s">
        <v>129</v>
      </c>
      <c r="D105" s="101" t="s">
        <v>121</v>
      </c>
      <c r="E105" s="101" t="s">
        <v>130</v>
      </c>
      <c r="F105" s="101" t="s">
        <v>103</v>
      </c>
      <c r="G105" s="84"/>
      <c r="H105" s="90"/>
      <c r="I105" s="90"/>
      <c r="J105" s="90"/>
      <c r="K105" s="90"/>
      <c r="L105" s="90"/>
    </row>
    <row r="106" spans="1:12" ht="19.5" customHeight="1" x14ac:dyDescent="0.2">
      <c r="A106" s="85">
        <v>16</v>
      </c>
      <c r="B106" s="85">
        <v>3238</v>
      </c>
      <c r="C106" s="86">
        <v>1571500151673</v>
      </c>
      <c r="D106" s="101" t="s">
        <v>121</v>
      </c>
      <c r="E106" s="101" t="s">
        <v>131</v>
      </c>
      <c r="F106" s="101" t="s">
        <v>132</v>
      </c>
      <c r="G106" s="84"/>
      <c r="H106" s="90"/>
      <c r="I106" s="90"/>
      <c r="J106" s="90"/>
      <c r="K106" s="90"/>
      <c r="L106" s="90"/>
    </row>
    <row r="107" spans="1:12" ht="19.5" customHeight="1" x14ac:dyDescent="0.2">
      <c r="A107" s="85">
        <v>17</v>
      </c>
      <c r="B107" s="85">
        <v>3248</v>
      </c>
      <c r="C107" s="86">
        <v>1101000754135</v>
      </c>
      <c r="D107" s="101" t="s">
        <v>121</v>
      </c>
      <c r="E107" s="101" t="s">
        <v>133</v>
      </c>
      <c r="F107" s="101" t="s">
        <v>134</v>
      </c>
      <c r="G107" s="84"/>
      <c r="H107" s="90"/>
      <c r="I107" s="90"/>
      <c r="J107" s="90"/>
      <c r="K107" s="90"/>
      <c r="L107" s="90"/>
    </row>
    <row r="108" spans="1:12" ht="19.5" customHeight="1" x14ac:dyDescent="0.2">
      <c r="A108" s="85">
        <v>18</v>
      </c>
      <c r="B108" s="85">
        <v>3236</v>
      </c>
      <c r="C108" s="86">
        <v>1578800134444</v>
      </c>
      <c r="D108" s="101" t="s">
        <v>121</v>
      </c>
      <c r="E108" s="101" t="s">
        <v>135</v>
      </c>
      <c r="F108" s="101" t="s">
        <v>136</v>
      </c>
      <c r="G108" s="84"/>
      <c r="H108" s="90"/>
      <c r="I108" s="90"/>
      <c r="J108" s="90"/>
      <c r="K108" s="90"/>
      <c r="L108" s="90"/>
    </row>
    <row r="109" spans="1:12" ht="19.5" customHeight="1" x14ac:dyDescent="0.2">
      <c r="A109" s="85">
        <v>19</v>
      </c>
      <c r="B109" s="85">
        <v>3231</v>
      </c>
      <c r="C109" s="86">
        <v>7579900106515</v>
      </c>
      <c r="D109" s="101" t="s">
        <v>121</v>
      </c>
      <c r="E109" s="101" t="s">
        <v>137</v>
      </c>
      <c r="F109" s="101" t="s">
        <v>103</v>
      </c>
      <c r="G109" s="84"/>
      <c r="H109" s="90"/>
      <c r="I109" s="90"/>
      <c r="J109" s="90"/>
      <c r="K109" s="90"/>
      <c r="L109" s="90"/>
    </row>
    <row r="110" spans="1:12" ht="19.5" customHeight="1" x14ac:dyDescent="0.2">
      <c r="A110" s="85">
        <v>20</v>
      </c>
      <c r="B110" s="85">
        <v>3240</v>
      </c>
      <c r="C110" s="93" t="s">
        <v>138</v>
      </c>
      <c r="D110" s="107" t="s">
        <v>121</v>
      </c>
      <c r="E110" s="95" t="s">
        <v>139</v>
      </c>
      <c r="F110" s="95" t="s">
        <v>103</v>
      </c>
      <c r="G110" s="102"/>
      <c r="H110" s="90"/>
      <c r="I110" s="90"/>
      <c r="J110" s="90"/>
      <c r="K110" s="90"/>
      <c r="L110" s="90"/>
    </row>
    <row r="111" spans="1:12" ht="19.5" customHeight="1" x14ac:dyDescent="0.2">
      <c r="A111" s="85">
        <v>21</v>
      </c>
      <c r="B111" s="85">
        <v>3245</v>
      </c>
      <c r="C111" s="86">
        <v>1539901372821</v>
      </c>
      <c r="D111" s="101" t="s">
        <v>121</v>
      </c>
      <c r="E111" s="101" t="s">
        <v>140</v>
      </c>
      <c r="F111" s="101" t="s">
        <v>141</v>
      </c>
      <c r="G111" s="84"/>
      <c r="H111" s="90"/>
      <c r="I111" s="90"/>
      <c r="J111" s="90"/>
      <c r="K111" s="90"/>
      <c r="L111" s="90"/>
    </row>
    <row r="112" spans="1:12" ht="19.5" customHeight="1" x14ac:dyDescent="0.2">
      <c r="A112" s="85"/>
      <c r="B112" s="85"/>
      <c r="C112" s="86"/>
      <c r="D112" s="101"/>
      <c r="E112" s="101"/>
      <c r="F112" s="101"/>
      <c r="G112" s="84"/>
      <c r="H112" s="90"/>
      <c r="I112" s="90"/>
      <c r="J112" s="90"/>
      <c r="K112" s="90"/>
      <c r="L112" s="90"/>
    </row>
    <row r="113" spans="1:12" ht="19.5" customHeight="1" x14ac:dyDescent="0.2">
      <c r="A113" s="85"/>
      <c r="B113" s="85"/>
      <c r="C113" s="86"/>
      <c r="D113" s="101"/>
      <c r="E113" s="101"/>
      <c r="F113" s="101"/>
      <c r="G113" s="84"/>
      <c r="H113" s="90"/>
      <c r="I113" s="90"/>
      <c r="J113" s="90"/>
      <c r="K113" s="90"/>
      <c r="L113" s="90"/>
    </row>
    <row r="114" spans="1:12" ht="19.5" customHeight="1" x14ac:dyDescent="0.2">
      <c r="A114" s="108"/>
      <c r="B114" s="108"/>
      <c r="C114" s="109"/>
      <c r="D114" s="110"/>
      <c r="E114" s="110"/>
      <c r="F114" s="110"/>
      <c r="G114" s="76"/>
      <c r="H114" s="105"/>
      <c r="I114" s="105"/>
      <c r="J114" s="105"/>
      <c r="K114" s="105"/>
      <c r="L114" s="105"/>
    </row>
    <row r="115" spans="1:12" ht="19.5" customHeight="1" x14ac:dyDescent="0.2">
      <c r="A115" s="108"/>
      <c r="B115" s="108"/>
      <c r="C115" s="109"/>
      <c r="D115" s="110"/>
      <c r="E115" s="110"/>
      <c r="F115" s="110"/>
      <c r="G115" s="76"/>
      <c r="H115" s="105"/>
      <c r="I115" s="105"/>
      <c r="J115" s="105"/>
      <c r="K115" s="105"/>
      <c r="L115" s="105"/>
    </row>
    <row r="116" spans="1:12" ht="19.5" customHeight="1" x14ac:dyDescent="0.2">
      <c r="A116" s="108"/>
      <c r="B116" s="108"/>
      <c r="C116" s="109"/>
      <c r="D116" s="110"/>
      <c r="E116" s="110"/>
      <c r="F116" s="110"/>
      <c r="G116" s="76"/>
      <c r="H116" s="105"/>
      <c r="I116" s="105"/>
      <c r="J116" s="105"/>
      <c r="K116" s="105"/>
      <c r="L116" s="105"/>
    </row>
    <row r="117" spans="1:12" ht="19.5" customHeight="1" x14ac:dyDescent="0.2">
      <c r="A117" s="108"/>
      <c r="B117" s="108"/>
      <c r="C117" s="111"/>
      <c r="D117" s="110"/>
      <c r="E117" s="110"/>
      <c r="F117" s="110"/>
      <c r="G117" s="112"/>
      <c r="H117" s="105"/>
      <c r="I117" s="105"/>
      <c r="J117" s="105"/>
      <c r="K117" s="105"/>
      <c r="L117" s="105"/>
    </row>
    <row r="118" spans="1:12" ht="19.5" customHeight="1" x14ac:dyDescent="0.2">
      <c r="A118" s="108"/>
      <c r="B118" s="108"/>
      <c r="C118" s="109"/>
      <c r="D118" s="110"/>
      <c r="E118" s="110"/>
      <c r="F118" s="110"/>
      <c r="G118" s="112"/>
      <c r="H118" s="105"/>
      <c r="I118" s="105"/>
      <c r="J118" s="105"/>
      <c r="K118" s="105"/>
      <c r="L118" s="105"/>
    </row>
    <row r="119" spans="1:12" ht="19.5" customHeight="1" x14ac:dyDescent="0.2">
      <c r="A119" s="108"/>
      <c r="B119" s="108"/>
      <c r="C119" s="109"/>
      <c r="D119" s="110"/>
      <c r="E119" s="110"/>
      <c r="F119" s="110"/>
      <c r="G119" s="112"/>
      <c r="H119" s="105"/>
      <c r="I119" s="105"/>
      <c r="J119" s="105"/>
      <c r="K119" s="105"/>
      <c r="L119" s="105"/>
    </row>
    <row r="120" spans="1:12" ht="19.5" customHeight="1" x14ac:dyDescent="0.2">
      <c r="A120" s="108"/>
      <c r="B120" s="113"/>
      <c r="C120" s="114"/>
      <c r="D120" s="115"/>
      <c r="E120" s="79"/>
      <c r="F120" s="79"/>
      <c r="G120" s="105"/>
      <c r="H120" s="105"/>
      <c r="I120" s="105"/>
      <c r="J120" s="105"/>
      <c r="K120" s="105"/>
      <c r="L120" s="105"/>
    </row>
    <row r="121" spans="1:12" ht="19.5" customHeight="1" x14ac:dyDescent="0.2">
      <c r="A121" s="108"/>
      <c r="B121" s="103"/>
      <c r="C121" s="104"/>
      <c r="D121" s="80"/>
      <c r="E121" s="105"/>
      <c r="F121" s="105"/>
      <c r="G121" s="105"/>
      <c r="H121" s="105"/>
      <c r="I121" s="105"/>
      <c r="J121" s="105"/>
      <c r="K121" s="105"/>
      <c r="L121" s="105"/>
    </row>
    <row r="122" spans="1:12" ht="19.5" customHeight="1" x14ac:dyDescent="0.2">
      <c r="A122" s="108"/>
      <c r="B122" s="103"/>
      <c r="C122" s="104"/>
      <c r="D122" s="80"/>
      <c r="E122" s="105"/>
      <c r="F122" s="105"/>
      <c r="G122" s="105"/>
      <c r="H122" s="105"/>
      <c r="I122" s="105"/>
      <c r="J122" s="105"/>
      <c r="K122" s="105"/>
      <c r="L122" s="105"/>
    </row>
    <row r="123" spans="1:12" ht="19.5" customHeight="1" x14ac:dyDescent="0.2">
      <c r="A123" s="108"/>
      <c r="B123" s="103"/>
      <c r="C123" s="104"/>
      <c r="D123" s="80"/>
      <c r="E123" s="105"/>
      <c r="F123" s="105"/>
      <c r="G123" s="105"/>
      <c r="H123" s="105"/>
      <c r="I123" s="105"/>
      <c r="J123" s="105"/>
      <c r="K123" s="105"/>
      <c r="L123" s="105"/>
    </row>
    <row r="124" spans="1:12" ht="19.5" customHeight="1" x14ac:dyDescent="0.2">
      <c r="A124" s="108"/>
      <c r="B124" s="103"/>
      <c r="C124" s="104"/>
      <c r="D124" s="80"/>
      <c r="E124" s="105"/>
      <c r="F124" s="105"/>
      <c r="G124" s="105"/>
      <c r="H124" s="105"/>
      <c r="I124" s="105"/>
      <c r="J124" s="105"/>
      <c r="K124" s="105"/>
      <c r="L124" s="105"/>
    </row>
    <row r="125" spans="1:12" ht="19.5" customHeight="1" x14ac:dyDescent="0.2">
      <c r="A125" s="103"/>
      <c r="B125" s="103"/>
      <c r="C125" s="104"/>
      <c r="D125" s="80"/>
      <c r="E125" s="116"/>
      <c r="F125" s="116"/>
      <c r="G125" s="103"/>
      <c r="H125" s="105"/>
      <c r="I125" s="103"/>
      <c r="J125" s="105"/>
      <c r="K125" s="103"/>
      <c r="L125" s="105"/>
    </row>
    <row r="126" spans="1:12" ht="19.5" customHeight="1" x14ac:dyDescent="0.2">
      <c r="A126" s="103"/>
      <c r="B126" s="103"/>
      <c r="C126" s="104"/>
      <c r="D126" s="80"/>
      <c r="E126" s="116"/>
      <c r="F126" s="103"/>
      <c r="G126" s="105"/>
      <c r="H126" s="103"/>
      <c r="I126" s="105"/>
      <c r="J126" s="103"/>
      <c r="K126" s="105"/>
      <c r="L126" s="117"/>
    </row>
    <row r="127" spans="1:12" ht="19.5" customHeight="1" x14ac:dyDescent="0.2">
      <c r="A127" s="234" t="s">
        <v>890</v>
      </c>
      <c r="B127" s="235"/>
      <c r="C127" s="235"/>
      <c r="D127" s="235"/>
      <c r="E127" s="235"/>
      <c r="F127" s="235"/>
      <c r="G127" s="235"/>
      <c r="H127" s="235"/>
      <c r="I127" s="235"/>
      <c r="J127" s="235"/>
      <c r="K127" s="235"/>
      <c r="L127" s="235"/>
    </row>
    <row r="128" spans="1:12" ht="19.5" customHeight="1" x14ac:dyDescent="0.2">
      <c r="A128" s="233" t="str">
        <f>A86</f>
        <v>ร่าง-รายชื่อนักเรียนปีการศึกษา 1/2569</v>
      </c>
      <c r="B128" s="233"/>
      <c r="C128" s="233"/>
      <c r="D128" s="233"/>
      <c r="E128" s="233"/>
      <c r="F128" s="233"/>
      <c r="G128" s="233"/>
      <c r="H128" s="233"/>
      <c r="I128" s="233"/>
      <c r="J128" s="233"/>
      <c r="K128" s="233"/>
      <c r="L128" s="233"/>
    </row>
    <row r="129" spans="1:12" ht="19.5" customHeight="1" x14ac:dyDescent="0.2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</row>
    <row r="130" spans="1:12" ht="19.5" customHeight="1" x14ac:dyDescent="0.2">
      <c r="A130" s="236" t="s">
        <v>1041</v>
      </c>
      <c r="B130" s="236"/>
      <c r="C130" s="236"/>
      <c r="D130" s="237" t="s">
        <v>1043</v>
      </c>
      <c r="E130" s="237"/>
      <c r="F130" s="237"/>
      <c r="G130" s="237"/>
      <c r="H130" s="237"/>
      <c r="I130" s="237"/>
      <c r="J130" s="237"/>
      <c r="K130" s="237"/>
      <c r="L130" s="237"/>
    </row>
    <row r="131" spans="1:12" ht="19.5" customHeight="1" x14ac:dyDescent="0.2">
      <c r="A131" s="80"/>
      <c r="B131" s="80"/>
      <c r="C131" s="80"/>
      <c r="D131" s="81"/>
      <c r="E131" s="81"/>
      <c r="F131" s="81"/>
      <c r="G131" s="81"/>
      <c r="H131" s="81"/>
      <c r="I131" s="81"/>
      <c r="J131" s="81"/>
      <c r="K131" s="81"/>
      <c r="L131" s="81"/>
    </row>
    <row r="132" spans="1:12" ht="19.5" customHeight="1" x14ac:dyDescent="0.2">
      <c r="A132" s="82" t="s">
        <v>43</v>
      </c>
      <c r="B132" s="82" t="s">
        <v>44</v>
      </c>
      <c r="C132" s="83" t="s">
        <v>45</v>
      </c>
      <c r="D132" s="238" t="s">
        <v>892</v>
      </c>
      <c r="E132" s="239"/>
      <c r="F132" s="239"/>
      <c r="G132" s="84"/>
      <c r="H132" s="84"/>
      <c r="I132" s="84"/>
      <c r="J132" s="84"/>
      <c r="K132" s="84"/>
      <c r="L132" s="84"/>
    </row>
    <row r="133" spans="1:12" ht="19.149999999999999" customHeight="1" x14ac:dyDescent="0.2">
      <c r="A133" s="85">
        <v>1</v>
      </c>
      <c r="B133" s="85">
        <v>3204</v>
      </c>
      <c r="C133" s="86">
        <v>571500019033</v>
      </c>
      <c r="D133" s="101" t="s">
        <v>101</v>
      </c>
      <c r="E133" s="101" t="s">
        <v>142</v>
      </c>
      <c r="F133" s="101" t="s">
        <v>143</v>
      </c>
      <c r="G133" s="102"/>
      <c r="H133" s="90"/>
      <c r="I133" s="90"/>
      <c r="J133" s="90"/>
      <c r="K133" s="90"/>
      <c r="L133" s="90"/>
    </row>
    <row r="134" spans="1:12" ht="19.149999999999999" customHeight="1" x14ac:dyDescent="0.2">
      <c r="A134" s="85">
        <v>2</v>
      </c>
      <c r="B134" s="85">
        <v>3205</v>
      </c>
      <c r="C134" s="86">
        <v>7578800017366</v>
      </c>
      <c r="D134" s="101" t="s">
        <v>101</v>
      </c>
      <c r="E134" s="101" t="s">
        <v>144</v>
      </c>
      <c r="F134" s="101" t="s">
        <v>103</v>
      </c>
      <c r="G134" s="84"/>
      <c r="H134" s="90"/>
      <c r="I134" s="90"/>
      <c r="J134" s="90"/>
      <c r="K134" s="90"/>
      <c r="L134" s="90"/>
    </row>
    <row r="135" spans="1:12" ht="19.149999999999999" customHeight="1" x14ac:dyDescent="0.2">
      <c r="A135" s="85">
        <v>3</v>
      </c>
      <c r="B135" s="85">
        <v>3206</v>
      </c>
      <c r="C135" s="86" t="s">
        <v>145</v>
      </c>
      <c r="D135" s="101" t="s">
        <v>101</v>
      </c>
      <c r="E135" s="101" t="s">
        <v>146</v>
      </c>
      <c r="F135" s="101" t="s">
        <v>147</v>
      </c>
      <c r="G135" s="84"/>
      <c r="H135" s="90"/>
      <c r="I135" s="90"/>
      <c r="J135" s="90"/>
      <c r="K135" s="90"/>
      <c r="L135" s="90"/>
    </row>
    <row r="136" spans="1:12" ht="19.149999999999999" customHeight="1" x14ac:dyDescent="0.2">
      <c r="A136" s="85">
        <v>4</v>
      </c>
      <c r="B136" s="85">
        <v>3207</v>
      </c>
      <c r="C136" s="91">
        <v>571500019629</v>
      </c>
      <c r="D136" s="101" t="s">
        <v>101</v>
      </c>
      <c r="E136" s="216" t="s">
        <v>1078</v>
      </c>
      <c r="F136" s="101" t="s">
        <v>148</v>
      </c>
      <c r="G136" s="84" t="s">
        <v>1079</v>
      </c>
      <c r="H136" s="90"/>
      <c r="I136" s="90"/>
      <c r="J136" s="90"/>
      <c r="K136" s="90"/>
      <c r="L136" s="90"/>
    </row>
    <row r="137" spans="1:12" ht="19.149999999999999" customHeight="1" x14ac:dyDescent="0.2">
      <c r="A137" s="85">
        <v>5</v>
      </c>
      <c r="B137" s="85">
        <v>3208</v>
      </c>
      <c r="C137" s="86">
        <v>571500017677</v>
      </c>
      <c r="D137" s="101" t="s">
        <v>101</v>
      </c>
      <c r="E137" s="101" t="s">
        <v>149</v>
      </c>
      <c r="F137" s="101" t="s">
        <v>147</v>
      </c>
      <c r="G137" s="84"/>
      <c r="H137" s="90"/>
      <c r="I137" s="90"/>
      <c r="J137" s="90"/>
      <c r="K137" s="90"/>
      <c r="L137" s="90"/>
    </row>
    <row r="138" spans="1:12" ht="19.149999999999999" customHeight="1" x14ac:dyDescent="0.2">
      <c r="A138" s="85">
        <v>6</v>
      </c>
      <c r="B138" s="85">
        <v>3209</v>
      </c>
      <c r="C138" s="86">
        <v>1571500152106</v>
      </c>
      <c r="D138" s="101" t="s">
        <v>101</v>
      </c>
      <c r="E138" s="101" t="s">
        <v>150</v>
      </c>
      <c r="F138" s="101" t="s">
        <v>151</v>
      </c>
      <c r="G138" s="84"/>
      <c r="H138" s="90"/>
      <c r="I138" s="90"/>
      <c r="J138" s="90"/>
      <c r="K138" s="90"/>
      <c r="L138" s="90"/>
    </row>
    <row r="139" spans="1:12" ht="19.149999999999999" customHeight="1" x14ac:dyDescent="0.2">
      <c r="A139" s="85">
        <v>7</v>
      </c>
      <c r="B139" s="85">
        <v>3210</v>
      </c>
      <c r="C139" s="91">
        <v>1571500153251</v>
      </c>
      <c r="D139" s="101" t="s">
        <v>101</v>
      </c>
      <c r="E139" s="101" t="s">
        <v>152</v>
      </c>
      <c r="F139" s="101" t="s">
        <v>153</v>
      </c>
      <c r="G139" s="84"/>
      <c r="H139" s="90"/>
      <c r="I139" s="90"/>
      <c r="J139" s="90"/>
      <c r="K139" s="90"/>
      <c r="L139" s="90"/>
    </row>
    <row r="140" spans="1:12" ht="19.149999999999999" customHeight="1" x14ac:dyDescent="0.2">
      <c r="A140" s="85">
        <v>8</v>
      </c>
      <c r="B140" s="85">
        <v>3211</v>
      </c>
      <c r="C140" s="92">
        <v>1571500152840</v>
      </c>
      <c r="D140" s="106" t="s">
        <v>101</v>
      </c>
      <c r="E140" s="90" t="s">
        <v>154</v>
      </c>
      <c r="F140" s="90" t="s">
        <v>155</v>
      </c>
      <c r="G140" s="84"/>
      <c r="H140" s="90"/>
      <c r="I140" s="90"/>
      <c r="J140" s="90"/>
      <c r="K140" s="90"/>
      <c r="L140" s="90"/>
    </row>
    <row r="141" spans="1:12" ht="19.149999999999999" customHeight="1" x14ac:dyDescent="0.2">
      <c r="A141" s="85">
        <v>9</v>
      </c>
      <c r="B141" s="85">
        <v>3220</v>
      </c>
      <c r="C141" s="91" t="s">
        <v>156</v>
      </c>
      <c r="D141" s="101" t="s">
        <v>101</v>
      </c>
      <c r="E141" s="101" t="s">
        <v>157</v>
      </c>
      <c r="F141" s="101" t="s">
        <v>158</v>
      </c>
      <c r="G141" s="84"/>
      <c r="H141" s="90"/>
      <c r="I141" s="90"/>
      <c r="J141" s="90"/>
      <c r="K141" s="90"/>
      <c r="L141" s="90"/>
    </row>
    <row r="142" spans="1:12" ht="19.149999999999999" customHeight="1" x14ac:dyDescent="0.2">
      <c r="A142" s="85">
        <v>10</v>
      </c>
      <c r="B142" s="85">
        <v>3224</v>
      </c>
      <c r="C142" s="86">
        <v>571500018614</v>
      </c>
      <c r="D142" s="101" t="s">
        <v>101</v>
      </c>
      <c r="E142" s="101" t="s">
        <v>159</v>
      </c>
      <c r="F142" s="101" t="s">
        <v>160</v>
      </c>
      <c r="G142" s="84"/>
      <c r="H142" s="90"/>
      <c r="I142" s="90"/>
      <c r="J142" s="90"/>
      <c r="K142" s="90"/>
      <c r="L142" s="90"/>
    </row>
    <row r="143" spans="1:12" ht="19.149999999999999" customHeight="1" x14ac:dyDescent="0.2">
      <c r="A143" s="85">
        <v>11</v>
      </c>
      <c r="B143" s="85">
        <v>3225</v>
      </c>
      <c r="C143" s="86" t="s">
        <v>161</v>
      </c>
      <c r="D143" s="101" t="s">
        <v>101</v>
      </c>
      <c r="E143" s="101" t="s">
        <v>162</v>
      </c>
      <c r="F143" s="101" t="s">
        <v>158</v>
      </c>
      <c r="G143" s="84"/>
      <c r="H143" s="90"/>
      <c r="I143" s="90"/>
      <c r="J143" s="90"/>
      <c r="K143" s="90"/>
      <c r="L143" s="90"/>
    </row>
    <row r="144" spans="1:12" ht="19.149999999999999" customHeight="1" x14ac:dyDescent="0.2">
      <c r="A144" s="85">
        <v>12</v>
      </c>
      <c r="B144" s="85">
        <v>3227</v>
      </c>
      <c r="C144" s="86">
        <v>1579902021593</v>
      </c>
      <c r="D144" s="101" t="s">
        <v>121</v>
      </c>
      <c r="E144" s="101" t="s">
        <v>163</v>
      </c>
      <c r="F144" s="101" t="s">
        <v>164</v>
      </c>
      <c r="G144" s="84"/>
      <c r="H144" s="90"/>
      <c r="I144" s="90"/>
      <c r="J144" s="90"/>
      <c r="K144" s="90"/>
      <c r="L144" s="90"/>
    </row>
    <row r="145" spans="1:12" ht="19.149999999999999" customHeight="1" x14ac:dyDescent="0.2">
      <c r="A145" s="85">
        <v>13</v>
      </c>
      <c r="B145" s="85">
        <v>3247</v>
      </c>
      <c r="C145" s="86">
        <v>1571500152190</v>
      </c>
      <c r="D145" s="101" t="s">
        <v>121</v>
      </c>
      <c r="E145" s="101" t="s">
        <v>165</v>
      </c>
      <c r="F145" s="101" t="s">
        <v>166</v>
      </c>
      <c r="G145" s="84"/>
      <c r="H145" s="90"/>
      <c r="I145" s="90"/>
      <c r="J145" s="90"/>
      <c r="K145" s="90"/>
      <c r="L145" s="90"/>
    </row>
    <row r="146" spans="1:12" ht="19.149999999999999" customHeight="1" x14ac:dyDescent="0.2">
      <c r="A146" s="85">
        <v>14</v>
      </c>
      <c r="B146" s="85">
        <v>3234</v>
      </c>
      <c r="C146" s="86" t="s">
        <v>167</v>
      </c>
      <c r="D146" s="101" t="s">
        <v>121</v>
      </c>
      <c r="E146" s="101" t="s">
        <v>168</v>
      </c>
      <c r="F146" s="101" t="s">
        <v>103</v>
      </c>
      <c r="G146" s="84"/>
      <c r="H146" s="90"/>
      <c r="I146" s="90"/>
      <c r="J146" s="90"/>
      <c r="K146" s="90"/>
      <c r="L146" s="90"/>
    </row>
    <row r="147" spans="1:12" ht="19.149999999999999" customHeight="1" x14ac:dyDescent="0.2">
      <c r="A147" s="85">
        <v>15</v>
      </c>
      <c r="B147" s="85">
        <v>3226</v>
      </c>
      <c r="C147" s="86">
        <v>1571500152904</v>
      </c>
      <c r="D147" s="101" t="s">
        <v>121</v>
      </c>
      <c r="E147" s="101" t="s">
        <v>169</v>
      </c>
      <c r="F147" s="101" t="s">
        <v>153</v>
      </c>
      <c r="G147" s="84"/>
      <c r="H147" s="90"/>
      <c r="I147" s="90"/>
      <c r="J147" s="90"/>
      <c r="K147" s="90"/>
      <c r="L147" s="90"/>
    </row>
    <row r="148" spans="1:12" ht="19.149999999999999" customHeight="1" x14ac:dyDescent="0.2">
      <c r="A148" s="85">
        <v>16</v>
      </c>
      <c r="B148" s="85">
        <v>3229</v>
      </c>
      <c r="C148" s="86">
        <v>1579902060203</v>
      </c>
      <c r="D148" s="101" t="s">
        <v>121</v>
      </c>
      <c r="E148" s="101" t="s">
        <v>170</v>
      </c>
      <c r="F148" s="101" t="s">
        <v>171</v>
      </c>
      <c r="G148" s="84"/>
      <c r="H148" s="90"/>
      <c r="I148" s="90"/>
      <c r="J148" s="90"/>
      <c r="K148" s="90"/>
      <c r="L148" s="90"/>
    </row>
    <row r="149" spans="1:12" ht="19.149999999999999" customHeight="1" x14ac:dyDescent="0.2">
      <c r="A149" s="85">
        <v>17</v>
      </c>
      <c r="B149" s="85">
        <v>3246</v>
      </c>
      <c r="C149" s="93">
        <v>1579902054629</v>
      </c>
      <c r="D149" s="107" t="s">
        <v>121</v>
      </c>
      <c r="E149" s="95" t="s">
        <v>172</v>
      </c>
      <c r="F149" s="95" t="s">
        <v>173</v>
      </c>
      <c r="G149" s="84"/>
      <c r="H149" s="90"/>
      <c r="I149" s="90"/>
      <c r="J149" s="90"/>
      <c r="K149" s="90"/>
      <c r="L149" s="90"/>
    </row>
    <row r="150" spans="1:12" ht="19.149999999999999" customHeight="1" x14ac:dyDescent="0.2">
      <c r="A150" s="85">
        <v>18</v>
      </c>
      <c r="B150" s="85">
        <v>3244</v>
      </c>
      <c r="C150" s="86">
        <v>1571500151312</v>
      </c>
      <c r="D150" s="101" t="s">
        <v>121</v>
      </c>
      <c r="E150" s="101" t="s">
        <v>174</v>
      </c>
      <c r="F150" s="101" t="s">
        <v>175</v>
      </c>
      <c r="G150" s="84"/>
      <c r="H150" s="90"/>
      <c r="I150" s="90"/>
      <c r="J150" s="90"/>
      <c r="K150" s="90"/>
      <c r="L150" s="90"/>
    </row>
    <row r="151" spans="1:12" ht="19.149999999999999" customHeight="1" x14ac:dyDescent="0.2">
      <c r="A151" s="85">
        <v>19</v>
      </c>
      <c r="B151" s="85">
        <v>3241</v>
      </c>
      <c r="C151" s="86">
        <v>571500018134</v>
      </c>
      <c r="D151" s="101" t="s">
        <v>121</v>
      </c>
      <c r="E151" s="101" t="s">
        <v>176</v>
      </c>
      <c r="F151" s="101" t="s">
        <v>103</v>
      </c>
      <c r="G151" s="84"/>
      <c r="H151" s="90"/>
      <c r="I151" s="90"/>
      <c r="J151" s="90"/>
      <c r="K151" s="90"/>
      <c r="L151" s="90"/>
    </row>
    <row r="152" spans="1:12" ht="19.149999999999999" customHeight="1" x14ac:dyDescent="0.2">
      <c r="A152" s="85">
        <v>20</v>
      </c>
      <c r="B152" s="82">
        <v>3230</v>
      </c>
      <c r="C152" s="92">
        <v>7571500122699</v>
      </c>
      <c r="D152" s="106" t="s">
        <v>121</v>
      </c>
      <c r="E152" s="90" t="s">
        <v>177</v>
      </c>
      <c r="F152" s="90" t="s">
        <v>178</v>
      </c>
      <c r="G152" s="102"/>
      <c r="H152" s="90"/>
      <c r="I152" s="90"/>
      <c r="J152" s="90"/>
      <c r="K152" s="90"/>
      <c r="L152" s="90"/>
    </row>
    <row r="153" spans="1:12" ht="19.149999999999999" customHeight="1" x14ac:dyDescent="0.2">
      <c r="A153" s="85">
        <v>21</v>
      </c>
      <c r="B153" s="85">
        <v>3249</v>
      </c>
      <c r="C153" s="86">
        <v>1571500151690</v>
      </c>
      <c r="D153" s="101" t="s">
        <v>121</v>
      </c>
      <c r="E153" s="101" t="s">
        <v>179</v>
      </c>
      <c r="F153" s="101" t="s">
        <v>175</v>
      </c>
      <c r="G153" s="84"/>
      <c r="H153" s="90"/>
      <c r="I153" s="90"/>
      <c r="J153" s="90"/>
      <c r="K153" s="90"/>
      <c r="L153" s="90"/>
    </row>
    <row r="154" spans="1:12" ht="19.149999999999999" customHeight="1" x14ac:dyDescent="0.2">
      <c r="A154" s="85"/>
      <c r="B154" s="85"/>
      <c r="C154" s="86"/>
      <c r="D154" s="101"/>
      <c r="E154" s="101"/>
      <c r="F154" s="101"/>
      <c r="G154" s="84"/>
      <c r="H154" s="90"/>
      <c r="I154" s="90"/>
      <c r="J154" s="90"/>
      <c r="K154" s="90"/>
      <c r="L154" s="90"/>
    </row>
    <row r="155" spans="1:12" ht="19.149999999999999" customHeight="1" x14ac:dyDescent="0.2">
      <c r="A155" s="85"/>
      <c r="B155" s="85"/>
      <c r="C155" s="86"/>
      <c r="D155" s="101"/>
      <c r="E155" s="101"/>
      <c r="F155" s="101"/>
      <c r="G155" s="102"/>
      <c r="H155" s="90"/>
      <c r="I155" s="90"/>
      <c r="J155" s="90"/>
      <c r="K155" s="90"/>
      <c r="L155" s="90"/>
    </row>
    <row r="156" spans="1:12" ht="19.149999999999999" customHeight="1" x14ac:dyDescent="0.2">
      <c r="A156" s="85"/>
      <c r="B156" s="85"/>
      <c r="C156" s="91"/>
      <c r="D156" s="101"/>
      <c r="E156" s="101"/>
      <c r="F156" s="101"/>
      <c r="G156" s="84"/>
      <c r="H156" s="90"/>
      <c r="I156" s="90"/>
      <c r="J156" s="90"/>
      <c r="K156" s="90"/>
      <c r="L156" s="90"/>
    </row>
    <row r="157" spans="1:12" ht="19.149999999999999" customHeight="1" x14ac:dyDescent="0.2"/>
    <row r="158" spans="1:12" ht="19.149999999999999" customHeight="1" x14ac:dyDescent="0.2"/>
    <row r="159" spans="1:12" ht="19.149999999999999" customHeight="1" x14ac:dyDescent="0.2"/>
    <row r="160" spans="1:12" ht="19.149999999999999" customHeight="1" x14ac:dyDescent="0.2"/>
    <row r="161" ht="19.149999999999999" customHeight="1" x14ac:dyDescent="0.2"/>
    <row r="162" ht="19.149999999999999" customHeight="1" x14ac:dyDescent="0.2"/>
    <row r="163" ht="19.149999999999999" customHeight="1" x14ac:dyDescent="0.2"/>
    <row r="164" ht="19.149999999999999" customHeight="1" x14ac:dyDescent="0.2"/>
    <row r="165" ht="19.149999999999999" customHeight="1" x14ac:dyDescent="0.2"/>
    <row r="166" ht="19.149999999999999" customHeight="1" x14ac:dyDescent="0.2"/>
    <row r="167" ht="19.149999999999999" customHeight="1" x14ac:dyDescent="0.2"/>
    <row r="168" ht="19.149999999999999" customHeight="1" x14ac:dyDescent="0.2"/>
    <row r="169" ht="19.149999999999999" customHeight="1" x14ac:dyDescent="0.2"/>
    <row r="170" ht="19.149999999999999" customHeight="1" x14ac:dyDescent="0.2"/>
  </sheetData>
  <mergeCells count="20">
    <mergeCell ref="A86:L86"/>
    <mergeCell ref="A1:L1"/>
    <mergeCell ref="A2:L2"/>
    <mergeCell ref="A4:C4"/>
    <mergeCell ref="D4:L4"/>
    <mergeCell ref="D6:F6"/>
    <mergeCell ref="A43:L43"/>
    <mergeCell ref="A44:L44"/>
    <mergeCell ref="A46:C46"/>
    <mergeCell ref="D46:L46"/>
    <mergeCell ref="D48:F48"/>
    <mergeCell ref="A85:L85"/>
    <mergeCell ref="D132:F132"/>
    <mergeCell ref="A88:C88"/>
    <mergeCell ref="D88:L88"/>
    <mergeCell ref="D90:F90"/>
    <mergeCell ref="A127:L127"/>
    <mergeCell ref="A128:L128"/>
    <mergeCell ref="A130:C130"/>
    <mergeCell ref="D130:L130"/>
  </mergeCells>
  <pageMargins left="0.39370078740157483" right="0.19685039370078741" top="0.19685039370078741" bottom="0.19685039370078741" header="0" footer="0"/>
  <pageSetup paperSize="9" scale="98" orientation="portrait" horizontalDpi="0" verticalDpi="0" r:id="rId1"/>
  <rowBreaks count="3" manualBreakCount="3">
    <brk id="42" max="16383" man="1"/>
    <brk id="84" max="16383" man="1"/>
    <brk id="126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ED167-6BF1-4B1E-A4C1-EA43BB6EAD68}">
  <sheetPr>
    <tabColor rgb="FFF6B26B"/>
  </sheetPr>
  <dimension ref="A1:L574"/>
  <sheetViews>
    <sheetView tabSelected="1" view="pageBreakPreview" topLeftCell="A298" zoomScale="85" zoomScaleNormal="85" zoomScaleSheetLayoutView="85" workbookViewId="0">
      <selection activeCell="A294" sqref="A294:F322"/>
    </sheetView>
  </sheetViews>
  <sheetFormatPr defaultRowHeight="19.5" customHeight="1" x14ac:dyDescent="0.2"/>
  <cols>
    <col min="1" max="1" width="6.42578125" style="172" customWidth="1"/>
    <col min="2" max="2" width="8.7109375" style="172" customWidth="1"/>
    <col min="3" max="3" width="18.85546875" style="172" customWidth="1"/>
    <col min="4" max="4" width="8.7109375" style="172" customWidth="1"/>
    <col min="5" max="5" width="11.5703125" style="172" customWidth="1"/>
    <col min="6" max="6" width="12.42578125" style="172" customWidth="1"/>
    <col min="7" max="7" width="4.7109375" style="172" hidden="1" customWidth="1"/>
    <col min="8" max="12" width="4.7109375" style="172" customWidth="1"/>
    <col min="13" max="16384" width="9.140625" style="172"/>
  </cols>
  <sheetData>
    <row r="1" spans="1:12" ht="19.5" customHeight="1" x14ac:dyDescent="0.2">
      <c r="A1" s="263" t="s">
        <v>890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</row>
    <row r="2" spans="1:12" ht="19.5" customHeight="1" x14ac:dyDescent="0.2">
      <c r="A2" s="269" t="s">
        <v>1033</v>
      </c>
      <c r="B2" s="269"/>
      <c r="C2" s="269"/>
      <c r="D2" s="269"/>
      <c r="E2" s="269"/>
      <c r="F2" s="269"/>
      <c r="G2" s="269"/>
      <c r="H2" s="269"/>
      <c r="I2" s="269"/>
      <c r="J2" s="269"/>
      <c r="K2" s="269"/>
      <c r="L2" s="269"/>
    </row>
    <row r="3" spans="1:12" ht="19.5" customHeight="1" x14ac:dyDescent="0.2">
      <c r="A3" s="173"/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</row>
    <row r="4" spans="1:12" ht="19.5" customHeight="1" x14ac:dyDescent="0.2">
      <c r="A4" s="267" t="s">
        <v>891</v>
      </c>
      <c r="B4" s="267"/>
      <c r="C4" s="267"/>
      <c r="D4" s="268" t="s">
        <v>900</v>
      </c>
      <c r="E4" s="268"/>
      <c r="F4" s="268"/>
      <c r="G4" s="268"/>
      <c r="H4" s="268"/>
      <c r="I4" s="268"/>
      <c r="J4" s="268"/>
      <c r="K4" s="268"/>
      <c r="L4" s="268"/>
    </row>
    <row r="5" spans="1:12" ht="19.5" customHeight="1" x14ac:dyDescent="0.2">
      <c r="A5" s="175"/>
      <c r="B5" s="175"/>
      <c r="C5" s="176"/>
      <c r="D5" s="174"/>
      <c r="E5" s="174"/>
      <c r="F5" s="177"/>
      <c r="G5" s="175"/>
      <c r="H5" s="175"/>
      <c r="I5" s="175"/>
      <c r="J5" s="175"/>
      <c r="K5" s="175"/>
      <c r="L5" s="175"/>
    </row>
    <row r="6" spans="1:12" ht="19.5" customHeight="1" x14ac:dyDescent="0.2">
      <c r="A6" s="178" t="s">
        <v>43</v>
      </c>
      <c r="B6" s="178" t="s">
        <v>44</v>
      </c>
      <c r="C6" s="179" t="s">
        <v>45</v>
      </c>
      <c r="D6" s="265" t="s">
        <v>892</v>
      </c>
      <c r="E6" s="266"/>
      <c r="F6" s="266"/>
      <c r="G6" s="180" t="s">
        <v>49</v>
      </c>
      <c r="H6" s="180" t="s">
        <v>1091</v>
      </c>
      <c r="I6" s="180"/>
      <c r="J6" s="180"/>
      <c r="K6" s="180"/>
      <c r="L6" s="180"/>
    </row>
    <row r="7" spans="1:12" ht="19.5" customHeight="1" x14ac:dyDescent="0.2">
      <c r="A7" s="181">
        <v>1</v>
      </c>
      <c r="B7" s="181">
        <v>3100</v>
      </c>
      <c r="C7" s="182">
        <v>571500010354</v>
      </c>
      <c r="D7" s="183" t="s">
        <v>101</v>
      </c>
      <c r="E7" s="183" t="s">
        <v>183</v>
      </c>
      <c r="F7" s="183" t="s">
        <v>184</v>
      </c>
      <c r="G7" s="184">
        <v>2</v>
      </c>
      <c r="H7" s="185">
        <v>0</v>
      </c>
      <c r="I7" s="185"/>
      <c r="J7" s="185"/>
      <c r="K7" s="185"/>
      <c r="L7" s="185"/>
    </row>
    <row r="8" spans="1:12" ht="19.5" customHeight="1" x14ac:dyDescent="0.2">
      <c r="A8" s="181">
        <v>2</v>
      </c>
      <c r="B8" s="181">
        <v>3134</v>
      </c>
      <c r="C8" s="182" t="s">
        <v>187</v>
      </c>
      <c r="D8" s="183" t="s">
        <v>101</v>
      </c>
      <c r="E8" s="183" t="s">
        <v>188</v>
      </c>
      <c r="F8" s="183" t="s">
        <v>189</v>
      </c>
      <c r="G8" s="180">
        <v>18</v>
      </c>
      <c r="H8" s="185">
        <v>0</v>
      </c>
      <c r="I8" s="185"/>
      <c r="J8" s="185"/>
      <c r="K8" s="185"/>
      <c r="L8" s="185"/>
    </row>
    <row r="9" spans="1:12" ht="19.5" customHeight="1" x14ac:dyDescent="0.2">
      <c r="A9" s="181">
        <v>3</v>
      </c>
      <c r="B9" s="181">
        <v>3102</v>
      </c>
      <c r="C9" s="182" t="s">
        <v>191</v>
      </c>
      <c r="D9" s="183" t="s">
        <v>101</v>
      </c>
      <c r="E9" s="183" t="s">
        <v>192</v>
      </c>
      <c r="F9" s="183" t="s">
        <v>193</v>
      </c>
      <c r="G9" s="180">
        <v>8</v>
      </c>
      <c r="H9" s="185">
        <v>3</v>
      </c>
      <c r="I9" s="185"/>
      <c r="J9" s="185"/>
      <c r="K9" s="185"/>
      <c r="L9" s="185"/>
    </row>
    <row r="10" spans="1:12" ht="19.5" customHeight="1" x14ac:dyDescent="0.2">
      <c r="A10" s="181">
        <v>4</v>
      </c>
      <c r="B10" s="181">
        <v>3135</v>
      </c>
      <c r="C10" s="186" t="s">
        <v>196</v>
      </c>
      <c r="D10" s="183" t="s">
        <v>101</v>
      </c>
      <c r="E10" s="183" t="s">
        <v>197</v>
      </c>
      <c r="F10" s="183" t="s">
        <v>103</v>
      </c>
      <c r="G10" s="180">
        <v>17</v>
      </c>
      <c r="H10" s="185">
        <v>10</v>
      </c>
      <c r="I10" s="185"/>
      <c r="J10" s="185"/>
      <c r="K10" s="185"/>
      <c r="L10" s="185"/>
    </row>
    <row r="11" spans="1:12" ht="19.5" customHeight="1" x14ac:dyDescent="0.2">
      <c r="A11" s="181">
        <v>5</v>
      </c>
      <c r="B11" s="181">
        <v>3104</v>
      </c>
      <c r="C11" s="182">
        <v>1579901972519</v>
      </c>
      <c r="D11" s="183" t="s">
        <v>101</v>
      </c>
      <c r="E11" s="183" t="s">
        <v>199</v>
      </c>
      <c r="F11" s="183" t="s">
        <v>200</v>
      </c>
      <c r="G11" s="180">
        <v>7</v>
      </c>
      <c r="H11" s="185">
        <v>9</v>
      </c>
      <c r="I11" s="185"/>
      <c r="J11" s="185"/>
      <c r="K11" s="185"/>
      <c r="L11" s="185"/>
    </row>
    <row r="12" spans="1:12" ht="19.5" customHeight="1" x14ac:dyDescent="0.2">
      <c r="A12" s="181">
        <v>6</v>
      </c>
      <c r="B12" s="206">
        <v>3117</v>
      </c>
      <c r="C12" s="231">
        <v>1578800125631</v>
      </c>
      <c r="D12" s="120" t="s">
        <v>101</v>
      </c>
      <c r="E12" s="120" t="s">
        <v>202</v>
      </c>
      <c r="F12" s="120" t="s">
        <v>203</v>
      </c>
      <c r="G12" s="208">
        <v>0</v>
      </c>
      <c r="H12" s="203">
        <v>0</v>
      </c>
      <c r="I12" s="203"/>
      <c r="J12" s="203"/>
      <c r="K12" s="203"/>
      <c r="L12" s="203" t="s">
        <v>1054</v>
      </c>
    </row>
    <row r="13" spans="1:12" ht="19.5" customHeight="1" x14ac:dyDescent="0.2">
      <c r="A13" s="181">
        <v>7</v>
      </c>
      <c r="B13" s="181">
        <v>3140</v>
      </c>
      <c r="C13" s="186">
        <v>1579902000731</v>
      </c>
      <c r="D13" s="183" t="s">
        <v>101</v>
      </c>
      <c r="E13" s="183" t="s">
        <v>205</v>
      </c>
      <c r="F13" s="183" t="s">
        <v>206</v>
      </c>
      <c r="G13" s="180">
        <v>13</v>
      </c>
      <c r="H13" s="185">
        <v>9</v>
      </c>
      <c r="I13" s="185"/>
      <c r="J13" s="185"/>
      <c r="K13" s="185"/>
      <c r="L13" s="185"/>
    </row>
    <row r="14" spans="1:12" ht="19.5" customHeight="1" x14ac:dyDescent="0.2">
      <c r="A14" s="181">
        <v>8</v>
      </c>
      <c r="B14" s="181">
        <v>3109</v>
      </c>
      <c r="C14" s="187">
        <v>571500006217</v>
      </c>
      <c r="D14" s="188" t="s">
        <v>101</v>
      </c>
      <c r="E14" s="189" t="s">
        <v>254</v>
      </c>
      <c r="F14" s="185" t="s">
        <v>208</v>
      </c>
      <c r="G14" s="180">
        <v>11</v>
      </c>
      <c r="H14" s="185">
        <v>0</v>
      </c>
      <c r="I14" s="185"/>
      <c r="J14" s="185"/>
      <c r="K14" s="185"/>
      <c r="L14" s="185"/>
    </row>
    <row r="15" spans="1:12" ht="19.5" customHeight="1" x14ac:dyDescent="0.2">
      <c r="A15" s="181">
        <v>9</v>
      </c>
      <c r="B15" s="181">
        <v>3215</v>
      </c>
      <c r="C15" s="186" t="s">
        <v>210</v>
      </c>
      <c r="D15" s="183" t="s">
        <v>101</v>
      </c>
      <c r="E15" s="183" t="s">
        <v>211</v>
      </c>
      <c r="F15" s="183" t="s">
        <v>103</v>
      </c>
      <c r="G15" s="180">
        <v>20</v>
      </c>
      <c r="H15" s="190">
        <v>10</v>
      </c>
      <c r="I15" s="185"/>
      <c r="J15" s="185"/>
      <c r="K15" s="185"/>
      <c r="L15" s="185"/>
    </row>
    <row r="16" spans="1:12" ht="19.5" customHeight="1" x14ac:dyDescent="0.2">
      <c r="A16" s="181">
        <v>10</v>
      </c>
      <c r="B16" s="181">
        <v>3141</v>
      </c>
      <c r="C16" s="182">
        <v>1579902010826</v>
      </c>
      <c r="D16" s="183" t="s">
        <v>101</v>
      </c>
      <c r="E16" s="183" t="s">
        <v>296</v>
      </c>
      <c r="F16" s="183" t="s">
        <v>297</v>
      </c>
      <c r="G16" s="180">
        <v>5</v>
      </c>
      <c r="H16" s="185">
        <v>10</v>
      </c>
      <c r="I16" s="185"/>
      <c r="J16" s="185"/>
      <c r="K16" s="185"/>
      <c r="L16" s="185"/>
    </row>
    <row r="17" spans="1:12" ht="19.5" customHeight="1" x14ac:dyDescent="0.2">
      <c r="A17" s="181">
        <v>11</v>
      </c>
      <c r="B17" s="181">
        <v>3146</v>
      </c>
      <c r="C17" s="182">
        <v>1579901986625</v>
      </c>
      <c r="D17" s="183" t="s">
        <v>101</v>
      </c>
      <c r="E17" s="183" t="s">
        <v>215</v>
      </c>
      <c r="F17" s="183" t="s">
        <v>151</v>
      </c>
      <c r="G17" s="180">
        <v>2</v>
      </c>
      <c r="H17" s="185">
        <v>8</v>
      </c>
      <c r="I17" s="185"/>
      <c r="J17" s="185"/>
      <c r="K17" s="185"/>
      <c r="L17" s="185"/>
    </row>
    <row r="18" spans="1:12" ht="19.5" customHeight="1" x14ac:dyDescent="0.2">
      <c r="A18" s="181">
        <v>12</v>
      </c>
      <c r="B18" s="181">
        <v>3147</v>
      </c>
      <c r="C18" s="182" t="s">
        <v>217</v>
      </c>
      <c r="D18" s="183" t="s">
        <v>101</v>
      </c>
      <c r="E18" s="183" t="s">
        <v>218</v>
      </c>
      <c r="F18" s="183" t="s">
        <v>103</v>
      </c>
      <c r="G18" s="180">
        <v>20</v>
      </c>
      <c r="H18" s="185">
        <v>10</v>
      </c>
      <c r="I18" s="185" t="s">
        <v>1092</v>
      </c>
      <c r="J18" s="185"/>
      <c r="K18" s="185"/>
      <c r="L18" s="185"/>
    </row>
    <row r="19" spans="1:12" ht="19.5" customHeight="1" x14ac:dyDescent="0.2">
      <c r="A19" s="181">
        <v>13</v>
      </c>
      <c r="B19" s="181">
        <v>3118</v>
      </c>
      <c r="C19" s="182">
        <v>1571500149458</v>
      </c>
      <c r="D19" s="183" t="s">
        <v>121</v>
      </c>
      <c r="E19" s="183" t="s">
        <v>220</v>
      </c>
      <c r="F19" s="183" t="s">
        <v>221</v>
      </c>
      <c r="G19" s="180">
        <v>9</v>
      </c>
      <c r="H19" s="185">
        <v>10</v>
      </c>
      <c r="I19" s="185"/>
      <c r="J19" s="185"/>
      <c r="K19" s="185"/>
      <c r="L19" s="185"/>
    </row>
    <row r="20" spans="1:12" ht="19.5" customHeight="1" x14ac:dyDescent="0.2">
      <c r="A20" s="181">
        <v>14</v>
      </c>
      <c r="B20" s="181">
        <v>3119</v>
      </c>
      <c r="C20" s="182">
        <v>571500009925</v>
      </c>
      <c r="D20" s="183" t="s">
        <v>121</v>
      </c>
      <c r="E20" s="183" t="s">
        <v>223</v>
      </c>
      <c r="F20" s="183" t="s">
        <v>103</v>
      </c>
      <c r="G20" s="180">
        <v>6</v>
      </c>
      <c r="H20" s="185">
        <v>18</v>
      </c>
      <c r="I20" s="185"/>
      <c r="J20" s="185"/>
      <c r="K20" s="185"/>
      <c r="L20" s="185"/>
    </row>
    <row r="21" spans="1:12" ht="19.5" customHeight="1" x14ac:dyDescent="0.2">
      <c r="A21" s="181">
        <v>15</v>
      </c>
      <c r="B21" s="181">
        <v>3151</v>
      </c>
      <c r="C21" s="182">
        <v>1100704838963</v>
      </c>
      <c r="D21" s="183" t="s">
        <v>121</v>
      </c>
      <c r="E21" s="183" t="s">
        <v>224</v>
      </c>
      <c r="F21" s="183" t="s">
        <v>225</v>
      </c>
      <c r="G21" s="180">
        <v>3</v>
      </c>
      <c r="H21" s="185">
        <v>10</v>
      </c>
      <c r="I21" s="185"/>
      <c r="J21" s="185"/>
      <c r="K21" s="185"/>
      <c r="L21" s="185"/>
    </row>
    <row r="22" spans="1:12" ht="19.5" customHeight="1" x14ac:dyDescent="0.2">
      <c r="A22" s="181">
        <v>16</v>
      </c>
      <c r="B22" s="181">
        <v>3152</v>
      </c>
      <c r="C22" s="182" t="s">
        <v>227</v>
      </c>
      <c r="D22" s="183" t="s">
        <v>121</v>
      </c>
      <c r="E22" s="183" t="s">
        <v>228</v>
      </c>
      <c r="F22" s="183" t="s">
        <v>229</v>
      </c>
      <c r="G22" s="180">
        <v>19</v>
      </c>
      <c r="H22" s="185">
        <v>10</v>
      </c>
      <c r="I22" s="185"/>
      <c r="J22" s="185"/>
      <c r="K22" s="185"/>
      <c r="L22" s="185"/>
    </row>
    <row r="23" spans="1:12" ht="19.5" customHeight="1" x14ac:dyDescent="0.2">
      <c r="A23" s="181">
        <v>17</v>
      </c>
      <c r="B23" s="181">
        <v>3170</v>
      </c>
      <c r="C23" s="182">
        <v>1579901970621</v>
      </c>
      <c r="D23" s="183" t="s">
        <v>121</v>
      </c>
      <c r="E23" s="183" t="s">
        <v>230</v>
      </c>
      <c r="F23" s="183" t="s">
        <v>231</v>
      </c>
      <c r="G23" s="180">
        <v>15</v>
      </c>
      <c r="H23" s="185">
        <v>10</v>
      </c>
      <c r="I23" s="185"/>
      <c r="J23" s="185"/>
      <c r="K23" s="185"/>
      <c r="L23" s="185"/>
    </row>
    <row r="24" spans="1:12" ht="19.5" customHeight="1" x14ac:dyDescent="0.2">
      <c r="A24" s="181">
        <v>18</v>
      </c>
      <c r="B24" s="181">
        <v>3123</v>
      </c>
      <c r="C24" s="182" t="s">
        <v>232</v>
      </c>
      <c r="D24" s="183" t="s">
        <v>121</v>
      </c>
      <c r="E24" s="183" t="s">
        <v>233</v>
      </c>
      <c r="F24" s="183" t="s">
        <v>103</v>
      </c>
      <c r="G24" s="180">
        <v>12</v>
      </c>
      <c r="H24" s="185">
        <v>10</v>
      </c>
      <c r="I24" s="185"/>
      <c r="J24" s="185"/>
      <c r="K24" s="185"/>
      <c r="L24" s="185"/>
    </row>
    <row r="25" spans="1:12" ht="19.5" customHeight="1" x14ac:dyDescent="0.2">
      <c r="A25" s="181">
        <v>19</v>
      </c>
      <c r="B25" s="181">
        <v>3156</v>
      </c>
      <c r="C25" s="182" t="s">
        <v>234</v>
      </c>
      <c r="D25" s="183" t="s">
        <v>121</v>
      </c>
      <c r="E25" s="183" t="s">
        <v>168</v>
      </c>
      <c r="F25" s="183" t="s">
        <v>103</v>
      </c>
      <c r="G25" s="180">
        <v>20</v>
      </c>
      <c r="H25" s="185">
        <v>10</v>
      </c>
      <c r="I25" s="185"/>
      <c r="J25" s="185"/>
      <c r="K25" s="185"/>
      <c r="L25" s="185"/>
    </row>
    <row r="26" spans="1:12" ht="19.5" customHeight="1" x14ac:dyDescent="0.2">
      <c r="A26" s="181">
        <v>20</v>
      </c>
      <c r="B26" s="181">
        <v>3157</v>
      </c>
      <c r="C26" s="191">
        <v>1578800126727</v>
      </c>
      <c r="D26" s="192" t="s">
        <v>121</v>
      </c>
      <c r="E26" s="193" t="s">
        <v>235</v>
      </c>
      <c r="F26" s="193" t="s">
        <v>236</v>
      </c>
      <c r="G26" s="184">
        <v>8</v>
      </c>
      <c r="H26" s="185">
        <v>10</v>
      </c>
      <c r="I26" s="185"/>
      <c r="J26" s="185"/>
      <c r="K26" s="185"/>
      <c r="L26" s="185"/>
    </row>
    <row r="27" spans="1:12" ht="19.5" customHeight="1" x14ac:dyDescent="0.2">
      <c r="A27" s="181">
        <v>21</v>
      </c>
      <c r="B27" s="206">
        <v>3237</v>
      </c>
      <c r="C27" s="231" t="s">
        <v>237</v>
      </c>
      <c r="D27" s="120" t="s">
        <v>121</v>
      </c>
      <c r="E27" s="120" t="s">
        <v>238</v>
      </c>
      <c r="F27" s="120" t="s">
        <v>1090</v>
      </c>
      <c r="G27" s="208">
        <v>16</v>
      </c>
      <c r="H27" s="232" t="s">
        <v>893</v>
      </c>
      <c r="I27" s="203"/>
      <c r="J27" s="203"/>
      <c r="K27" s="203"/>
      <c r="L27" s="120" t="s">
        <v>1089</v>
      </c>
    </row>
    <row r="28" spans="1:12" ht="19.5" customHeight="1" x14ac:dyDescent="0.2">
      <c r="A28" s="181">
        <v>22</v>
      </c>
      <c r="B28" s="181">
        <v>3127</v>
      </c>
      <c r="C28" s="182" t="s">
        <v>239</v>
      </c>
      <c r="D28" s="183" t="s">
        <v>121</v>
      </c>
      <c r="E28" s="183" t="s">
        <v>240</v>
      </c>
      <c r="F28" s="183" t="s">
        <v>103</v>
      </c>
      <c r="G28" s="180">
        <v>13</v>
      </c>
      <c r="H28" s="185">
        <v>9</v>
      </c>
      <c r="I28" s="185"/>
      <c r="J28" s="185"/>
      <c r="K28" s="185"/>
      <c r="L28" s="185"/>
    </row>
    <row r="29" spans="1:12" ht="19.5" customHeight="1" x14ac:dyDescent="0.2">
      <c r="A29" s="181">
        <v>23</v>
      </c>
      <c r="B29" s="222">
        <v>3327</v>
      </c>
      <c r="C29" s="223"/>
      <c r="D29" s="224" t="s">
        <v>101</v>
      </c>
      <c r="E29" s="225" t="s">
        <v>216</v>
      </c>
      <c r="F29" s="225" t="s">
        <v>103</v>
      </c>
      <c r="G29" s="226" t="s">
        <v>1083</v>
      </c>
      <c r="H29" s="225"/>
      <c r="I29" s="225"/>
      <c r="J29" s="185"/>
      <c r="K29" s="185"/>
      <c r="L29" s="203" t="s">
        <v>1054</v>
      </c>
    </row>
    <row r="30" spans="1:12" ht="19.5" customHeight="1" x14ac:dyDescent="0.2">
      <c r="A30" s="181">
        <v>24</v>
      </c>
      <c r="B30" s="227">
        <v>3328</v>
      </c>
      <c r="C30" s="228"/>
      <c r="D30" s="219" t="s">
        <v>101</v>
      </c>
      <c r="E30" s="219" t="s">
        <v>1084</v>
      </c>
      <c r="F30" s="219" t="s">
        <v>103</v>
      </c>
      <c r="G30" s="220" t="s">
        <v>1031</v>
      </c>
      <c r="H30" s="185">
        <v>10</v>
      </c>
      <c r="I30" s="185"/>
      <c r="J30" s="185"/>
      <c r="K30" s="185"/>
      <c r="L30" s="185"/>
    </row>
    <row r="31" spans="1:12" ht="19.5" customHeight="1" x14ac:dyDescent="0.2">
      <c r="A31" s="181">
        <v>25</v>
      </c>
      <c r="B31" s="227">
        <v>3329</v>
      </c>
      <c r="C31" s="228"/>
      <c r="D31" s="219" t="s">
        <v>101</v>
      </c>
      <c r="E31" s="219" t="s">
        <v>207</v>
      </c>
      <c r="F31" s="219" t="s">
        <v>103</v>
      </c>
      <c r="G31" s="220" t="s">
        <v>1031</v>
      </c>
      <c r="H31" s="185">
        <v>10</v>
      </c>
      <c r="I31" s="185"/>
      <c r="J31" s="185"/>
      <c r="K31" s="185"/>
      <c r="L31" s="185"/>
    </row>
    <row r="32" spans="1:12" ht="19.5" customHeight="1" x14ac:dyDescent="0.2">
      <c r="A32" s="181">
        <v>26</v>
      </c>
      <c r="B32" s="227">
        <v>3334</v>
      </c>
      <c r="C32" s="228"/>
      <c r="D32" s="219" t="s">
        <v>121</v>
      </c>
      <c r="E32" s="219" t="s">
        <v>186</v>
      </c>
      <c r="F32" s="219" t="s">
        <v>103</v>
      </c>
      <c r="G32" s="220" t="s">
        <v>1031</v>
      </c>
      <c r="H32" s="185">
        <v>2</v>
      </c>
      <c r="I32" s="185"/>
      <c r="J32" s="185"/>
      <c r="K32" s="185"/>
      <c r="L32" s="185"/>
    </row>
    <row r="33" spans="1:12" ht="19.5" customHeight="1" x14ac:dyDescent="0.2">
      <c r="A33" s="181">
        <v>27</v>
      </c>
      <c r="B33" s="227">
        <v>3336</v>
      </c>
      <c r="C33" s="230"/>
      <c r="D33" s="219" t="s">
        <v>121</v>
      </c>
      <c r="E33" s="219" t="s">
        <v>130</v>
      </c>
      <c r="F33" s="219" t="s">
        <v>103</v>
      </c>
      <c r="G33" s="220" t="s">
        <v>1031</v>
      </c>
      <c r="H33" s="185">
        <v>9</v>
      </c>
      <c r="I33" s="185"/>
      <c r="J33" s="185"/>
      <c r="K33" s="185"/>
      <c r="L33" s="185"/>
    </row>
    <row r="34" spans="1:12" ht="19.5" customHeight="1" x14ac:dyDescent="0.2">
      <c r="A34" s="181"/>
      <c r="B34" s="181"/>
      <c r="C34" s="182"/>
      <c r="D34" s="183"/>
      <c r="E34" s="183"/>
      <c r="F34" s="183"/>
      <c r="G34" s="184"/>
      <c r="H34" s="185"/>
      <c r="I34" s="185"/>
      <c r="J34" s="185"/>
      <c r="K34" s="185"/>
      <c r="L34" s="185"/>
    </row>
    <row r="35" spans="1:12" ht="19.5" customHeight="1" x14ac:dyDescent="0.2">
      <c r="A35" s="181"/>
      <c r="B35" s="194"/>
      <c r="C35" s="195"/>
      <c r="D35" s="196"/>
      <c r="E35" s="193"/>
      <c r="F35" s="193"/>
      <c r="G35" s="185"/>
      <c r="H35" s="185"/>
      <c r="I35" s="185"/>
      <c r="J35" s="185"/>
      <c r="K35" s="185"/>
      <c r="L35" s="185"/>
    </row>
    <row r="36" spans="1:12" ht="19.5" customHeight="1" x14ac:dyDescent="0.2">
      <c r="A36" s="181"/>
      <c r="B36" s="178"/>
      <c r="C36" s="179"/>
      <c r="D36" s="188"/>
      <c r="E36" s="185"/>
      <c r="F36" s="185"/>
      <c r="G36" s="185"/>
      <c r="H36" s="185"/>
      <c r="I36" s="185"/>
      <c r="J36" s="185"/>
      <c r="K36" s="185"/>
      <c r="L36" s="185"/>
    </row>
    <row r="37" spans="1:12" ht="19.5" customHeight="1" x14ac:dyDescent="0.2">
      <c r="A37" s="181"/>
      <c r="B37" s="178"/>
      <c r="C37" s="179"/>
      <c r="D37" s="188"/>
      <c r="E37" s="185"/>
      <c r="F37" s="185"/>
      <c r="G37" s="185"/>
      <c r="H37" s="185"/>
      <c r="I37" s="185"/>
      <c r="J37" s="185"/>
      <c r="K37" s="185"/>
      <c r="L37" s="185"/>
    </row>
    <row r="38" spans="1:12" ht="19.5" customHeight="1" x14ac:dyDescent="0.2">
      <c r="A38" s="181"/>
      <c r="B38" s="178"/>
      <c r="C38" s="179"/>
      <c r="D38" s="188"/>
      <c r="E38" s="185"/>
      <c r="F38" s="185"/>
      <c r="G38" s="185"/>
      <c r="H38" s="185"/>
      <c r="I38" s="185"/>
      <c r="J38" s="185"/>
      <c r="K38" s="185"/>
      <c r="L38" s="185"/>
    </row>
    <row r="39" spans="1:12" ht="19.5" customHeight="1" x14ac:dyDescent="0.2">
      <c r="A39" s="181"/>
      <c r="B39" s="178"/>
      <c r="C39" s="179" t="s">
        <v>1066</v>
      </c>
      <c r="D39" s="188">
        <f>COUNTIF(D7:D33,"เด็กชาย")</f>
        <v>15</v>
      </c>
      <c r="E39" s="185"/>
      <c r="F39" s="185"/>
      <c r="G39" s="185"/>
      <c r="H39" s="185"/>
      <c r="I39" s="185"/>
      <c r="J39" s="185"/>
      <c r="K39" s="185"/>
      <c r="L39" s="185"/>
    </row>
    <row r="40" spans="1:12" ht="19.5" customHeight="1" x14ac:dyDescent="0.2">
      <c r="A40" s="178"/>
      <c r="B40" s="178"/>
      <c r="C40" s="179" t="s">
        <v>1067</v>
      </c>
      <c r="D40" s="188">
        <f>COUNTIF(D7:D33,"เด็กหญิง")</f>
        <v>12</v>
      </c>
      <c r="E40" s="197"/>
      <c r="F40" s="197" t="s">
        <v>38</v>
      </c>
      <c r="G40" s="178">
        <f>I40+K40</f>
        <v>28</v>
      </c>
      <c r="H40" s="185" t="s">
        <v>894</v>
      </c>
      <c r="I40" s="178">
        <v>10</v>
      </c>
      <c r="J40" s="185" t="s">
        <v>895</v>
      </c>
      <c r="K40" s="178">
        <v>18</v>
      </c>
      <c r="L40" s="185"/>
    </row>
    <row r="41" spans="1:12" ht="19.5" customHeight="1" x14ac:dyDescent="0.2">
      <c r="A41" s="178"/>
      <c r="B41" s="178"/>
      <c r="C41" s="179" t="s">
        <v>38</v>
      </c>
      <c r="D41" s="188">
        <f>SUM(D39:D40)</f>
        <v>27</v>
      </c>
      <c r="E41" s="197"/>
      <c r="F41" s="178"/>
      <c r="G41" s="185"/>
      <c r="H41" s="178"/>
      <c r="I41" s="185"/>
      <c r="J41" s="178"/>
      <c r="K41" s="185"/>
      <c r="L41" s="198" t="s">
        <v>1081</v>
      </c>
    </row>
    <row r="42" spans="1:12" ht="19.5" customHeight="1" x14ac:dyDescent="0.2">
      <c r="A42" s="263" t="s">
        <v>890</v>
      </c>
      <c r="B42" s="264"/>
      <c r="C42" s="264"/>
      <c r="D42" s="264"/>
      <c r="E42" s="264"/>
      <c r="F42" s="264"/>
      <c r="G42" s="264"/>
      <c r="H42" s="264"/>
      <c r="I42" s="264"/>
      <c r="J42" s="264"/>
      <c r="K42" s="264"/>
      <c r="L42" s="264"/>
    </row>
    <row r="43" spans="1:12" ht="19.5" customHeight="1" x14ac:dyDescent="0.2">
      <c r="A43" s="269" t="str">
        <f>A2</f>
        <v>ร่าง-รายชื่อนักเรียนปีการศึกษา 1/2569</v>
      </c>
      <c r="B43" s="269"/>
      <c r="C43" s="269"/>
      <c r="D43" s="269"/>
      <c r="E43" s="269"/>
      <c r="F43" s="269"/>
      <c r="G43" s="269"/>
      <c r="H43" s="269"/>
      <c r="I43" s="269"/>
      <c r="J43" s="269"/>
      <c r="K43" s="269"/>
      <c r="L43" s="269"/>
    </row>
    <row r="44" spans="1:12" ht="19.5" customHeight="1" x14ac:dyDescent="0.2">
      <c r="A44" s="173"/>
      <c r="B44" s="173"/>
      <c r="C44" s="173"/>
      <c r="D44" s="173"/>
      <c r="E44" s="173"/>
      <c r="F44" s="173"/>
      <c r="G44" s="173"/>
      <c r="H44" s="173"/>
      <c r="I44" s="173"/>
      <c r="J44" s="173"/>
      <c r="K44" s="173"/>
      <c r="L44" s="173"/>
    </row>
    <row r="45" spans="1:12" ht="19.5" customHeight="1" x14ac:dyDescent="0.2">
      <c r="A45" s="267" t="s">
        <v>897</v>
      </c>
      <c r="B45" s="267"/>
      <c r="C45" s="267"/>
      <c r="D45" s="268" t="s">
        <v>901</v>
      </c>
      <c r="E45" s="268"/>
      <c r="F45" s="268"/>
      <c r="G45" s="268"/>
      <c r="H45" s="268"/>
      <c r="I45" s="268"/>
      <c r="J45" s="268"/>
      <c r="K45" s="268"/>
      <c r="L45" s="268"/>
    </row>
    <row r="46" spans="1:12" ht="19.5" customHeight="1" x14ac:dyDescent="0.2">
      <c r="A46" s="175"/>
      <c r="B46" s="175"/>
      <c r="C46" s="176"/>
      <c r="D46" s="174"/>
      <c r="E46" s="174"/>
      <c r="F46" s="177"/>
      <c r="G46" s="175"/>
      <c r="H46" s="175"/>
      <c r="I46" s="175"/>
      <c r="J46" s="175"/>
      <c r="K46" s="175"/>
      <c r="L46" s="175"/>
    </row>
    <row r="47" spans="1:12" ht="19.5" customHeight="1" x14ac:dyDescent="0.2">
      <c r="A47" s="178" t="s">
        <v>43</v>
      </c>
      <c r="B47" s="178" t="s">
        <v>44</v>
      </c>
      <c r="C47" s="179" t="s">
        <v>45</v>
      </c>
      <c r="D47" s="265" t="s">
        <v>892</v>
      </c>
      <c r="E47" s="266"/>
      <c r="F47" s="266"/>
      <c r="G47" s="180" t="s">
        <v>49</v>
      </c>
      <c r="H47" s="180"/>
      <c r="I47" s="180"/>
      <c r="J47" s="180"/>
      <c r="K47" s="180"/>
      <c r="L47" s="180"/>
    </row>
    <row r="48" spans="1:12" ht="19.5" customHeight="1" x14ac:dyDescent="0.2">
      <c r="A48" s="181">
        <v>1</v>
      </c>
      <c r="B48" s="181">
        <v>3132</v>
      </c>
      <c r="C48" s="182">
        <v>571500006764</v>
      </c>
      <c r="D48" s="183" t="s">
        <v>101</v>
      </c>
      <c r="E48" s="183" t="s">
        <v>241</v>
      </c>
      <c r="F48" s="183" t="s">
        <v>242</v>
      </c>
      <c r="G48" s="184">
        <v>8</v>
      </c>
      <c r="H48" s="185"/>
      <c r="I48" s="185"/>
      <c r="J48" s="185"/>
      <c r="K48" s="185"/>
      <c r="L48" s="185"/>
    </row>
    <row r="49" spans="1:12" ht="19.5" customHeight="1" x14ac:dyDescent="0.2">
      <c r="A49" s="181">
        <v>2</v>
      </c>
      <c r="B49" s="181">
        <v>3101</v>
      </c>
      <c r="C49" s="182" t="s">
        <v>243</v>
      </c>
      <c r="D49" s="183" t="s">
        <v>101</v>
      </c>
      <c r="E49" s="183" t="s">
        <v>244</v>
      </c>
      <c r="F49" s="183" t="s">
        <v>193</v>
      </c>
      <c r="G49" s="180">
        <v>10</v>
      </c>
      <c r="H49" s="185"/>
      <c r="I49" s="185"/>
      <c r="J49" s="185"/>
      <c r="K49" s="185"/>
      <c r="L49" s="185"/>
    </row>
    <row r="50" spans="1:12" ht="19.5" customHeight="1" x14ac:dyDescent="0.2">
      <c r="A50" s="181">
        <v>3</v>
      </c>
      <c r="B50" s="181">
        <v>3103</v>
      </c>
      <c r="C50" s="182" t="s">
        <v>245</v>
      </c>
      <c r="D50" s="183" t="s">
        <v>101</v>
      </c>
      <c r="E50" s="183" t="s">
        <v>246</v>
      </c>
      <c r="F50" s="183" t="s">
        <v>103</v>
      </c>
      <c r="G50" s="180">
        <v>0</v>
      </c>
      <c r="H50" s="185"/>
      <c r="I50" s="185"/>
      <c r="J50" s="185"/>
      <c r="K50" s="185"/>
      <c r="L50" s="185"/>
    </row>
    <row r="51" spans="1:12" ht="19.5" customHeight="1" x14ac:dyDescent="0.2">
      <c r="A51" s="181">
        <v>4</v>
      </c>
      <c r="B51" s="181">
        <v>3203</v>
      </c>
      <c r="C51" s="186" t="s">
        <v>247</v>
      </c>
      <c r="D51" s="183" t="s">
        <v>101</v>
      </c>
      <c r="E51" s="183" t="s">
        <v>248</v>
      </c>
      <c r="F51" s="183" t="s">
        <v>103</v>
      </c>
      <c r="G51" s="180">
        <v>17</v>
      </c>
      <c r="H51" s="190" t="s">
        <v>893</v>
      </c>
      <c r="I51" s="185"/>
      <c r="J51" s="185"/>
      <c r="K51" s="185"/>
      <c r="L51" s="185"/>
    </row>
    <row r="52" spans="1:12" ht="19.5" customHeight="1" x14ac:dyDescent="0.2">
      <c r="A52" s="181">
        <v>5</v>
      </c>
      <c r="B52" s="181">
        <v>3139</v>
      </c>
      <c r="C52" s="182">
        <v>571500006322</v>
      </c>
      <c r="D52" s="183" t="s">
        <v>101</v>
      </c>
      <c r="E52" s="183" t="s">
        <v>249</v>
      </c>
      <c r="F52" s="183" t="s">
        <v>250</v>
      </c>
      <c r="G52" s="180">
        <v>5</v>
      </c>
      <c r="H52" s="185"/>
      <c r="I52" s="185"/>
      <c r="J52" s="185"/>
      <c r="K52" s="185"/>
      <c r="L52" s="185"/>
    </row>
    <row r="53" spans="1:12" ht="19.5" customHeight="1" x14ac:dyDescent="0.2">
      <c r="A53" s="181">
        <v>6</v>
      </c>
      <c r="B53" s="181">
        <v>3106</v>
      </c>
      <c r="C53" s="182">
        <v>1571500149792</v>
      </c>
      <c r="D53" s="183" t="s">
        <v>101</v>
      </c>
      <c r="E53" s="183" t="s">
        <v>249</v>
      </c>
      <c r="F53" s="183" t="s">
        <v>251</v>
      </c>
      <c r="G53" s="180">
        <v>0</v>
      </c>
      <c r="H53" s="185"/>
      <c r="I53" s="185"/>
      <c r="J53" s="185"/>
      <c r="K53" s="185"/>
      <c r="L53" s="185"/>
    </row>
    <row r="54" spans="1:12" ht="19.5" customHeight="1" x14ac:dyDescent="0.2">
      <c r="A54" s="181">
        <v>7</v>
      </c>
      <c r="B54" s="181">
        <v>3107</v>
      </c>
      <c r="C54" s="186">
        <v>1571500149539</v>
      </c>
      <c r="D54" s="183" t="s">
        <v>101</v>
      </c>
      <c r="E54" s="183" t="s">
        <v>252</v>
      </c>
      <c r="F54" s="183" t="s">
        <v>253</v>
      </c>
      <c r="G54" s="180">
        <v>7</v>
      </c>
      <c r="H54" s="185"/>
      <c r="I54" s="185"/>
      <c r="J54" s="185"/>
      <c r="K54" s="185"/>
      <c r="L54" s="185"/>
    </row>
    <row r="55" spans="1:12" ht="19.5" customHeight="1" x14ac:dyDescent="0.2">
      <c r="A55" s="181">
        <v>8</v>
      </c>
      <c r="B55" s="181">
        <v>3142</v>
      </c>
      <c r="C55" s="187">
        <v>1571500148737</v>
      </c>
      <c r="D55" s="188" t="s">
        <v>101</v>
      </c>
      <c r="E55" s="185" t="s">
        <v>254</v>
      </c>
      <c r="F55" s="185" t="s">
        <v>126</v>
      </c>
      <c r="G55" s="180">
        <v>16</v>
      </c>
      <c r="H55" s="185"/>
      <c r="I55" s="185"/>
      <c r="J55" s="185"/>
      <c r="K55" s="185"/>
      <c r="L55" s="185"/>
    </row>
    <row r="56" spans="1:12" ht="19.5" customHeight="1" x14ac:dyDescent="0.2">
      <c r="A56" s="181">
        <v>9</v>
      </c>
      <c r="B56" s="181">
        <v>3143</v>
      </c>
      <c r="C56" s="186">
        <v>1579901991114</v>
      </c>
      <c r="D56" s="183" t="s">
        <v>101</v>
      </c>
      <c r="E56" s="183" t="s">
        <v>255</v>
      </c>
      <c r="F56" s="183" t="s">
        <v>256</v>
      </c>
      <c r="G56" s="180">
        <v>12</v>
      </c>
      <c r="H56" s="185"/>
      <c r="I56" s="185"/>
      <c r="J56" s="185"/>
      <c r="K56" s="185"/>
      <c r="L56" s="185" t="s">
        <v>1054</v>
      </c>
    </row>
    <row r="57" spans="1:12" ht="19.5" customHeight="1" x14ac:dyDescent="0.2">
      <c r="A57" s="181">
        <v>10</v>
      </c>
      <c r="B57" s="181">
        <v>3221</v>
      </c>
      <c r="C57" s="182" t="s">
        <v>257</v>
      </c>
      <c r="D57" s="183" t="s">
        <v>101</v>
      </c>
      <c r="E57" s="183" t="s">
        <v>258</v>
      </c>
      <c r="F57" s="183" t="s">
        <v>158</v>
      </c>
      <c r="G57" s="180">
        <v>20</v>
      </c>
      <c r="H57" s="190" t="s">
        <v>893</v>
      </c>
      <c r="I57" s="185"/>
      <c r="J57" s="185"/>
      <c r="K57" s="185"/>
      <c r="L57" s="185" t="s">
        <v>1054</v>
      </c>
    </row>
    <row r="58" spans="1:12" ht="19.5" customHeight="1" x14ac:dyDescent="0.2">
      <c r="A58" s="181">
        <v>11</v>
      </c>
      <c r="B58" s="181">
        <v>3112</v>
      </c>
      <c r="C58" s="182">
        <v>1571500150171</v>
      </c>
      <c r="D58" s="183" t="s">
        <v>101</v>
      </c>
      <c r="E58" s="183" t="s">
        <v>259</v>
      </c>
      <c r="F58" s="183" t="s">
        <v>260</v>
      </c>
      <c r="G58" s="180">
        <v>2</v>
      </c>
      <c r="H58" s="185"/>
      <c r="I58" s="185"/>
      <c r="J58" s="185"/>
      <c r="K58" s="185"/>
      <c r="L58" s="185"/>
    </row>
    <row r="59" spans="1:12" ht="19.5" customHeight="1" x14ac:dyDescent="0.2">
      <c r="A59" s="181">
        <v>12</v>
      </c>
      <c r="B59" s="181">
        <v>3148</v>
      </c>
      <c r="C59" s="182" t="s">
        <v>261</v>
      </c>
      <c r="D59" s="183" t="s">
        <v>101</v>
      </c>
      <c r="E59" s="183" t="s">
        <v>262</v>
      </c>
      <c r="F59" s="183" t="s">
        <v>103</v>
      </c>
      <c r="G59" s="180">
        <v>20</v>
      </c>
      <c r="H59" s="185"/>
      <c r="I59" s="185"/>
      <c r="J59" s="185"/>
      <c r="K59" s="185"/>
      <c r="L59" s="185"/>
    </row>
    <row r="60" spans="1:12" ht="19.5" customHeight="1" x14ac:dyDescent="0.2">
      <c r="A60" s="181">
        <v>13</v>
      </c>
      <c r="B60" s="181">
        <v>3150</v>
      </c>
      <c r="C60" s="182">
        <v>571500014724</v>
      </c>
      <c r="D60" s="183" t="s">
        <v>121</v>
      </c>
      <c r="E60" s="183" t="s">
        <v>263</v>
      </c>
      <c r="F60" s="183" t="s">
        <v>264</v>
      </c>
      <c r="G60" s="180">
        <v>6</v>
      </c>
      <c r="H60" s="185"/>
      <c r="I60" s="185"/>
      <c r="J60" s="185"/>
      <c r="K60" s="185"/>
      <c r="L60" s="185"/>
    </row>
    <row r="61" spans="1:12" ht="19.5" customHeight="1" x14ac:dyDescent="0.2">
      <c r="A61" s="181">
        <v>14</v>
      </c>
      <c r="B61" s="181">
        <v>3121</v>
      </c>
      <c r="C61" s="182" t="s">
        <v>265</v>
      </c>
      <c r="D61" s="183" t="s">
        <v>121</v>
      </c>
      <c r="E61" s="183" t="s">
        <v>266</v>
      </c>
      <c r="F61" s="183" t="s">
        <v>103</v>
      </c>
      <c r="G61" s="180">
        <v>8</v>
      </c>
      <c r="H61" s="185"/>
      <c r="I61" s="185"/>
      <c r="J61" s="185"/>
      <c r="K61" s="185"/>
      <c r="L61" s="185"/>
    </row>
    <row r="62" spans="1:12" ht="19.5" customHeight="1" x14ac:dyDescent="0.2">
      <c r="A62" s="181">
        <v>15</v>
      </c>
      <c r="B62" s="181">
        <v>3155</v>
      </c>
      <c r="C62" s="182" t="s">
        <v>267</v>
      </c>
      <c r="D62" s="183" t="s">
        <v>121</v>
      </c>
      <c r="E62" s="183" t="s">
        <v>268</v>
      </c>
      <c r="F62" s="183" t="s">
        <v>189</v>
      </c>
      <c r="G62" s="180">
        <v>14</v>
      </c>
      <c r="H62" s="185"/>
      <c r="I62" s="185"/>
      <c r="J62" s="185"/>
      <c r="K62" s="185"/>
      <c r="L62" s="185"/>
    </row>
    <row r="63" spans="1:12" ht="19.5" customHeight="1" x14ac:dyDescent="0.2">
      <c r="A63" s="181">
        <v>16</v>
      </c>
      <c r="B63" s="181">
        <v>3124</v>
      </c>
      <c r="C63" s="182" t="s">
        <v>269</v>
      </c>
      <c r="D63" s="183" t="s">
        <v>121</v>
      </c>
      <c r="E63" s="183" t="s">
        <v>270</v>
      </c>
      <c r="F63" s="183" t="s">
        <v>189</v>
      </c>
      <c r="G63" s="180">
        <v>0</v>
      </c>
      <c r="H63" s="185"/>
      <c r="I63" s="185"/>
      <c r="J63" s="185"/>
      <c r="K63" s="185"/>
      <c r="L63" s="185"/>
    </row>
    <row r="64" spans="1:12" ht="19.5" customHeight="1" x14ac:dyDescent="0.2">
      <c r="A64" s="181">
        <v>17</v>
      </c>
      <c r="B64" s="181">
        <v>3125</v>
      </c>
      <c r="C64" s="182" t="s">
        <v>271</v>
      </c>
      <c r="D64" s="183" t="s">
        <v>121</v>
      </c>
      <c r="E64" s="183" t="s">
        <v>272</v>
      </c>
      <c r="F64" s="183" t="s">
        <v>103</v>
      </c>
      <c r="G64" s="180">
        <v>18</v>
      </c>
      <c r="H64" s="185"/>
      <c r="I64" s="185"/>
      <c r="J64" s="185"/>
      <c r="K64" s="185"/>
      <c r="L64" s="185"/>
    </row>
    <row r="65" spans="1:12" ht="19.5" customHeight="1" x14ac:dyDescent="0.2">
      <c r="A65" s="181">
        <v>18</v>
      </c>
      <c r="B65" s="181">
        <v>3126</v>
      </c>
      <c r="C65" s="182">
        <v>1579902003480</v>
      </c>
      <c r="D65" s="183" t="s">
        <v>121</v>
      </c>
      <c r="E65" s="183" t="s">
        <v>273</v>
      </c>
      <c r="F65" s="183" t="s">
        <v>164</v>
      </c>
      <c r="G65" s="180">
        <v>12</v>
      </c>
      <c r="H65" s="185"/>
      <c r="I65" s="185"/>
      <c r="J65" s="185"/>
      <c r="K65" s="185"/>
      <c r="L65" s="185"/>
    </row>
    <row r="66" spans="1:12" ht="19.5" customHeight="1" x14ac:dyDescent="0.2">
      <c r="A66" s="181">
        <v>19</v>
      </c>
      <c r="B66" s="181">
        <v>3159</v>
      </c>
      <c r="C66" s="182" t="s">
        <v>274</v>
      </c>
      <c r="D66" s="183" t="s">
        <v>121</v>
      </c>
      <c r="E66" s="183" t="s">
        <v>275</v>
      </c>
      <c r="F66" s="183" t="s">
        <v>103</v>
      </c>
      <c r="G66" s="180">
        <v>8</v>
      </c>
      <c r="H66" s="185"/>
      <c r="I66" s="185"/>
      <c r="J66" s="185"/>
      <c r="K66" s="185"/>
      <c r="L66" s="185"/>
    </row>
    <row r="67" spans="1:12" ht="19.5" customHeight="1" x14ac:dyDescent="0.2">
      <c r="A67" s="181">
        <v>20</v>
      </c>
      <c r="B67" s="181">
        <v>3161</v>
      </c>
      <c r="C67" s="182" t="s">
        <v>278</v>
      </c>
      <c r="D67" s="183" t="s">
        <v>121</v>
      </c>
      <c r="E67" s="183" t="s">
        <v>279</v>
      </c>
      <c r="F67" s="183" t="s">
        <v>103</v>
      </c>
      <c r="G67" s="180">
        <v>16</v>
      </c>
      <c r="H67" s="185"/>
      <c r="I67" s="185"/>
      <c r="J67" s="185"/>
      <c r="K67" s="185"/>
      <c r="L67" s="185"/>
    </row>
    <row r="68" spans="1:12" ht="19.5" customHeight="1" x14ac:dyDescent="0.2">
      <c r="A68" s="181">
        <v>21</v>
      </c>
      <c r="B68" s="181">
        <v>3131</v>
      </c>
      <c r="C68" s="182" t="s">
        <v>280</v>
      </c>
      <c r="D68" s="183" t="s">
        <v>121</v>
      </c>
      <c r="E68" s="183" t="s">
        <v>281</v>
      </c>
      <c r="F68" s="183" t="s">
        <v>103</v>
      </c>
      <c r="G68" s="180">
        <v>20</v>
      </c>
      <c r="H68" s="185"/>
      <c r="I68" s="185"/>
      <c r="J68" s="185"/>
      <c r="K68" s="185"/>
      <c r="L68" s="185" t="s">
        <v>1054</v>
      </c>
    </row>
    <row r="69" spans="1:12" ht="19.5" customHeight="1" x14ac:dyDescent="0.2">
      <c r="A69" s="181">
        <v>22</v>
      </c>
      <c r="B69" s="178">
        <v>3338</v>
      </c>
      <c r="C69" s="187">
        <v>1579902008007</v>
      </c>
      <c r="D69" s="188" t="s">
        <v>121</v>
      </c>
      <c r="E69" s="185" t="s">
        <v>282</v>
      </c>
      <c r="F69" s="185" t="s">
        <v>283</v>
      </c>
      <c r="G69" s="184">
        <v>20</v>
      </c>
      <c r="H69" s="185"/>
      <c r="I69" s="185"/>
      <c r="J69" s="185"/>
      <c r="K69" s="185"/>
      <c r="L69" s="185"/>
    </row>
    <row r="70" spans="1:12" ht="19.5" customHeight="1" x14ac:dyDescent="0.2">
      <c r="A70" s="181">
        <v>23</v>
      </c>
      <c r="B70" s="181">
        <v>3330</v>
      </c>
      <c r="C70" s="182"/>
      <c r="D70" s="183" t="s">
        <v>101</v>
      </c>
      <c r="E70" s="183" t="s">
        <v>284</v>
      </c>
      <c r="F70" s="183" t="s">
        <v>214</v>
      </c>
      <c r="G70" s="184" t="s">
        <v>1031</v>
      </c>
      <c r="H70" s="185"/>
      <c r="I70" s="185"/>
      <c r="J70" s="185"/>
      <c r="K70" s="185"/>
      <c r="L70" s="185"/>
    </row>
    <row r="71" spans="1:12" ht="19.5" customHeight="1" x14ac:dyDescent="0.2">
      <c r="A71" s="181">
        <v>24</v>
      </c>
      <c r="B71" s="227">
        <v>3331</v>
      </c>
      <c r="C71" s="228"/>
      <c r="D71" s="219" t="s">
        <v>101</v>
      </c>
      <c r="E71" s="219" t="s">
        <v>198</v>
      </c>
      <c r="F71" s="219" t="s">
        <v>103</v>
      </c>
      <c r="G71" s="220" t="s">
        <v>1031</v>
      </c>
      <c r="H71" s="185"/>
      <c r="I71" s="185"/>
      <c r="J71" s="185"/>
      <c r="K71" s="185"/>
      <c r="L71" s="185"/>
    </row>
    <row r="72" spans="1:12" ht="19.5" customHeight="1" x14ac:dyDescent="0.2">
      <c r="A72" s="181">
        <v>25</v>
      </c>
      <c r="B72" s="227">
        <v>3335</v>
      </c>
      <c r="C72" s="228"/>
      <c r="D72" s="229" t="s">
        <v>121</v>
      </c>
      <c r="E72" s="219" t="s">
        <v>204</v>
      </c>
      <c r="F72" s="219" t="s">
        <v>103</v>
      </c>
      <c r="G72" s="220" t="s">
        <v>1031</v>
      </c>
      <c r="H72" s="185"/>
      <c r="I72" s="185"/>
      <c r="J72" s="185"/>
      <c r="K72" s="185"/>
      <c r="L72" s="185"/>
    </row>
    <row r="73" spans="1:12" ht="19.5" customHeight="1" x14ac:dyDescent="0.2">
      <c r="A73" s="181"/>
      <c r="B73" s="181"/>
      <c r="C73" s="182"/>
      <c r="D73" s="188"/>
      <c r="E73" s="183"/>
      <c r="F73" s="183"/>
      <c r="G73" s="184"/>
      <c r="H73" s="185"/>
      <c r="I73" s="185"/>
      <c r="J73" s="185"/>
      <c r="K73" s="185"/>
      <c r="L73" s="185"/>
    </row>
    <row r="74" spans="1:12" ht="19.5" customHeight="1" x14ac:dyDescent="0.2">
      <c r="A74" s="181"/>
      <c r="B74" s="181"/>
      <c r="C74" s="186"/>
      <c r="D74" s="183"/>
      <c r="E74" s="183"/>
      <c r="F74" s="183"/>
      <c r="G74" s="184"/>
      <c r="H74" s="185"/>
      <c r="I74" s="185"/>
      <c r="J74" s="185"/>
      <c r="K74" s="185"/>
      <c r="L74" s="185"/>
    </row>
    <row r="75" spans="1:12" ht="19.5" customHeight="1" x14ac:dyDescent="0.2">
      <c r="A75" s="181"/>
      <c r="B75" s="181"/>
      <c r="C75" s="182"/>
      <c r="D75" s="183"/>
      <c r="E75" s="183"/>
      <c r="F75" s="183"/>
      <c r="G75" s="184"/>
      <c r="H75" s="185"/>
      <c r="I75" s="185"/>
      <c r="J75" s="185"/>
      <c r="K75" s="185"/>
      <c r="L75" s="185"/>
    </row>
    <row r="76" spans="1:12" ht="19.5" customHeight="1" x14ac:dyDescent="0.2">
      <c r="A76" s="181"/>
      <c r="B76" s="205"/>
      <c r="C76" s="204"/>
      <c r="D76" s="120" t="s">
        <v>185</v>
      </c>
      <c r="E76" s="120" t="s">
        <v>226</v>
      </c>
      <c r="F76" s="120" t="s">
        <v>103</v>
      </c>
      <c r="G76" s="202" t="s">
        <v>1031</v>
      </c>
      <c r="H76" s="203"/>
      <c r="I76" s="203"/>
      <c r="J76" s="203"/>
      <c r="K76" s="203"/>
      <c r="L76" s="203" t="s">
        <v>1054</v>
      </c>
    </row>
    <row r="77" spans="1:12" ht="19.5" customHeight="1" x14ac:dyDescent="0.2">
      <c r="A77" s="181"/>
      <c r="B77" s="206">
        <v>3160</v>
      </c>
      <c r="C77" s="207">
        <v>571500006241</v>
      </c>
      <c r="D77" s="120" t="s">
        <v>121</v>
      </c>
      <c r="E77" s="208" t="s">
        <v>276</v>
      </c>
      <c r="F77" s="208" t="s">
        <v>277</v>
      </c>
      <c r="G77" s="202">
        <v>11</v>
      </c>
      <c r="H77" s="208" t="s">
        <v>1056</v>
      </c>
      <c r="I77" s="203"/>
      <c r="J77" s="203"/>
      <c r="K77" s="203"/>
      <c r="L77" s="203" t="s">
        <v>1054</v>
      </c>
    </row>
    <row r="78" spans="1:12" ht="19.5" customHeight="1" x14ac:dyDescent="0.2">
      <c r="A78" s="181"/>
      <c r="B78" s="178"/>
      <c r="C78" s="179"/>
      <c r="D78" s="188"/>
      <c r="E78" s="185"/>
      <c r="F78" s="185"/>
      <c r="G78" s="185"/>
      <c r="H78" s="185"/>
      <c r="I78" s="185"/>
      <c r="J78" s="185"/>
      <c r="K78" s="185"/>
      <c r="L78" s="185"/>
    </row>
    <row r="79" spans="1:12" ht="19.5" customHeight="1" x14ac:dyDescent="0.2">
      <c r="A79" s="181"/>
      <c r="B79" s="178"/>
      <c r="C79" s="179"/>
      <c r="D79" s="188"/>
      <c r="E79" s="185"/>
      <c r="F79" s="185"/>
      <c r="G79" s="185"/>
      <c r="H79" s="185"/>
      <c r="I79" s="185"/>
      <c r="J79" s="185"/>
      <c r="K79" s="185"/>
      <c r="L79" s="185"/>
    </row>
    <row r="80" spans="1:12" ht="19.5" customHeight="1" x14ac:dyDescent="0.2">
      <c r="A80" s="181"/>
      <c r="B80" s="178"/>
      <c r="C80" s="179" t="s">
        <v>1066</v>
      </c>
      <c r="D80" s="188">
        <f>COUNTIF(D48:D74,"เด็กชาย")</f>
        <v>14</v>
      </c>
      <c r="E80" s="185"/>
      <c r="F80" s="185"/>
      <c r="G80" s="185"/>
      <c r="H80" s="185"/>
      <c r="I80" s="185"/>
      <c r="J80" s="185"/>
      <c r="K80" s="185"/>
      <c r="L80" s="185"/>
    </row>
    <row r="81" spans="1:12" ht="19.5" customHeight="1" x14ac:dyDescent="0.2">
      <c r="A81" s="178"/>
      <c r="B81" s="178"/>
      <c r="C81" s="179" t="s">
        <v>1067</v>
      </c>
      <c r="D81" s="188">
        <f>COUNTIF(D48:D74,"เด็กหญิง")</f>
        <v>11</v>
      </c>
      <c r="E81" s="197"/>
      <c r="F81" s="197" t="s">
        <v>38</v>
      </c>
      <c r="G81" s="178">
        <f>I81+K81</f>
        <v>28</v>
      </c>
      <c r="H81" s="185" t="s">
        <v>894</v>
      </c>
      <c r="I81" s="178">
        <v>10</v>
      </c>
      <c r="J81" s="185" t="s">
        <v>895</v>
      </c>
      <c r="K81" s="178">
        <v>18</v>
      </c>
      <c r="L81" s="185"/>
    </row>
    <row r="82" spans="1:12" ht="19.5" customHeight="1" x14ac:dyDescent="0.2">
      <c r="A82" s="178"/>
      <c r="B82" s="178"/>
      <c r="C82" s="179" t="s">
        <v>38</v>
      </c>
      <c r="D82" s="188">
        <f>SUM(D80:D81)</f>
        <v>25</v>
      </c>
      <c r="E82" s="197"/>
      <c r="F82" s="178"/>
      <c r="G82" s="185"/>
      <c r="H82" s="178"/>
      <c r="I82" s="185"/>
      <c r="J82" s="178"/>
      <c r="K82" s="185"/>
      <c r="L82" s="198" t="str">
        <f>L41</f>
        <v>วันที่ 21 พ.ค. 2569</v>
      </c>
    </row>
    <row r="83" spans="1:12" ht="19.5" customHeight="1" x14ac:dyDescent="0.2">
      <c r="A83" s="263" t="s">
        <v>890</v>
      </c>
      <c r="B83" s="264"/>
      <c r="C83" s="264"/>
      <c r="D83" s="264"/>
      <c r="E83" s="264"/>
      <c r="F83" s="264"/>
      <c r="G83" s="264"/>
      <c r="H83" s="264"/>
      <c r="I83" s="264"/>
      <c r="J83" s="264"/>
      <c r="K83" s="264"/>
      <c r="L83" s="264"/>
    </row>
    <row r="84" spans="1:12" ht="19.5" customHeight="1" x14ac:dyDescent="0.2">
      <c r="A84" s="269" t="str">
        <f>A43</f>
        <v>ร่าง-รายชื่อนักเรียนปีการศึกษา 1/2569</v>
      </c>
      <c r="B84" s="269"/>
      <c r="C84" s="269"/>
      <c r="D84" s="269"/>
      <c r="E84" s="269"/>
      <c r="F84" s="269"/>
      <c r="G84" s="269"/>
      <c r="H84" s="269"/>
      <c r="I84" s="269"/>
      <c r="J84" s="269"/>
      <c r="K84" s="269"/>
      <c r="L84" s="269"/>
    </row>
    <row r="85" spans="1:12" ht="19.5" customHeight="1" x14ac:dyDescent="0.2">
      <c r="A85" s="173"/>
      <c r="B85" s="173"/>
      <c r="C85" s="173"/>
      <c r="D85" s="173"/>
      <c r="E85" s="173"/>
      <c r="F85" s="173"/>
      <c r="G85" s="173"/>
      <c r="H85" s="173"/>
      <c r="I85" s="173"/>
      <c r="J85" s="173"/>
      <c r="K85" s="173"/>
      <c r="L85" s="173"/>
    </row>
    <row r="86" spans="1:12" ht="19.5" customHeight="1" x14ac:dyDescent="0.2">
      <c r="A86" s="267" t="s">
        <v>896</v>
      </c>
      <c r="B86" s="267"/>
      <c r="C86" s="267"/>
      <c r="D86" s="268" t="s">
        <v>899</v>
      </c>
      <c r="E86" s="268"/>
      <c r="F86" s="268"/>
      <c r="G86" s="268"/>
      <c r="H86" s="268"/>
      <c r="I86" s="268"/>
      <c r="J86" s="268"/>
      <c r="K86" s="268"/>
      <c r="L86" s="268"/>
    </row>
    <row r="87" spans="1:12" ht="19.5" customHeight="1" x14ac:dyDescent="0.2">
      <c r="A87" s="175"/>
      <c r="B87" s="175"/>
      <c r="C87" s="176"/>
      <c r="D87" s="174"/>
      <c r="E87" s="174"/>
      <c r="F87" s="177"/>
      <c r="G87" s="175"/>
      <c r="H87" s="175"/>
      <c r="I87" s="175"/>
      <c r="J87" s="175"/>
      <c r="K87" s="175"/>
      <c r="L87" s="175"/>
    </row>
    <row r="88" spans="1:12" ht="19.5" customHeight="1" x14ac:dyDescent="0.2">
      <c r="A88" s="178" t="s">
        <v>43</v>
      </c>
      <c r="B88" s="178" t="s">
        <v>44</v>
      </c>
      <c r="C88" s="179" t="s">
        <v>45</v>
      </c>
      <c r="D88" s="265" t="s">
        <v>892</v>
      </c>
      <c r="E88" s="266"/>
      <c r="F88" s="266"/>
      <c r="G88" s="180" t="s">
        <v>49</v>
      </c>
      <c r="H88" s="180"/>
      <c r="I88" s="180"/>
      <c r="J88" s="180"/>
      <c r="K88" s="180"/>
      <c r="L88" s="180"/>
    </row>
    <row r="89" spans="1:12" ht="19.5" customHeight="1" x14ac:dyDescent="0.2">
      <c r="A89" s="181">
        <v>1</v>
      </c>
      <c r="B89" s="181">
        <v>3133</v>
      </c>
      <c r="C89" s="182" t="s">
        <v>285</v>
      </c>
      <c r="D89" s="183" t="s">
        <v>101</v>
      </c>
      <c r="E89" s="183" t="s">
        <v>286</v>
      </c>
      <c r="F89" s="183" t="s">
        <v>103</v>
      </c>
      <c r="G89" s="184">
        <v>20</v>
      </c>
      <c r="H89" s="185"/>
      <c r="I89" s="185"/>
      <c r="J89" s="185"/>
      <c r="K89" s="185"/>
      <c r="L89" s="185"/>
    </row>
    <row r="90" spans="1:12" ht="19.5" customHeight="1" x14ac:dyDescent="0.2">
      <c r="A90" s="181">
        <v>2</v>
      </c>
      <c r="B90" s="181">
        <v>3136</v>
      </c>
      <c r="C90" s="182">
        <v>1571500149351</v>
      </c>
      <c r="D90" s="183" t="s">
        <v>101</v>
      </c>
      <c r="E90" s="183" t="s">
        <v>287</v>
      </c>
      <c r="F90" s="183" t="s">
        <v>288</v>
      </c>
      <c r="G90" s="180">
        <v>10</v>
      </c>
      <c r="H90" s="185"/>
      <c r="I90" s="185"/>
      <c r="J90" s="185"/>
      <c r="K90" s="185"/>
      <c r="L90" s="185"/>
    </row>
    <row r="91" spans="1:12" ht="19.5" customHeight="1" x14ac:dyDescent="0.2">
      <c r="A91" s="181">
        <v>3</v>
      </c>
      <c r="B91" s="181">
        <v>3116</v>
      </c>
      <c r="C91" s="182">
        <v>1579901981011</v>
      </c>
      <c r="D91" s="183" t="s">
        <v>101</v>
      </c>
      <c r="E91" s="183" t="s">
        <v>289</v>
      </c>
      <c r="F91" s="183" t="s">
        <v>290</v>
      </c>
      <c r="G91" s="180">
        <v>0</v>
      </c>
      <c r="H91" s="185"/>
      <c r="I91" s="185"/>
      <c r="J91" s="185"/>
      <c r="K91" s="185"/>
      <c r="L91" s="185"/>
    </row>
    <row r="92" spans="1:12" ht="19.5" customHeight="1" x14ac:dyDescent="0.2">
      <c r="A92" s="181">
        <v>4</v>
      </c>
      <c r="B92" s="181">
        <v>3137</v>
      </c>
      <c r="C92" s="186">
        <v>1571500149385</v>
      </c>
      <c r="D92" s="183" t="s">
        <v>101</v>
      </c>
      <c r="E92" s="183" t="s">
        <v>291</v>
      </c>
      <c r="F92" s="183" t="s">
        <v>292</v>
      </c>
      <c r="G92" s="180">
        <v>8</v>
      </c>
      <c r="H92" s="185"/>
      <c r="I92" s="185"/>
      <c r="J92" s="185"/>
      <c r="K92" s="185"/>
      <c r="L92" s="185"/>
    </row>
    <row r="93" spans="1:12" ht="19.5" customHeight="1" x14ac:dyDescent="0.2">
      <c r="A93" s="181">
        <v>5</v>
      </c>
      <c r="B93" s="181">
        <v>3173</v>
      </c>
      <c r="C93" s="182">
        <v>571500006250</v>
      </c>
      <c r="D93" s="183" t="s">
        <v>101</v>
      </c>
      <c r="E93" s="183" t="s">
        <v>293</v>
      </c>
      <c r="F93" s="183" t="s">
        <v>143</v>
      </c>
      <c r="G93" s="180">
        <v>13</v>
      </c>
      <c r="H93" s="185"/>
      <c r="I93" s="185"/>
      <c r="J93" s="185"/>
      <c r="K93" s="185"/>
      <c r="L93" s="185"/>
    </row>
    <row r="94" spans="1:12" ht="19.5" customHeight="1" x14ac:dyDescent="0.2">
      <c r="A94" s="181">
        <v>6</v>
      </c>
      <c r="B94" s="181">
        <v>3108</v>
      </c>
      <c r="C94" s="182">
        <v>1579901983448</v>
      </c>
      <c r="D94" s="183" t="s">
        <v>101</v>
      </c>
      <c r="E94" s="183" t="s">
        <v>294</v>
      </c>
      <c r="F94" s="183" t="s">
        <v>295</v>
      </c>
      <c r="G94" s="180">
        <v>11</v>
      </c>
      <c r="H94" s="185"/>
      <c r="I94" s="185"/>
      <c r="J94" s="185"/>
      <c r="K94" s="185"/>
      <c r="L94" s="185"/>
    </row>
    <row r="95" spans="1:12" ht="19.5" customHeight="1" x14ac:dyDescent="0.2">
      <c r="A95" s="181">
        <v>7</v>
      </c>
      <c r="B95" s="181">
        <v>3144</v>
      </c>
      <c r="C95" s="186">
        <v>579900060488</v>
      </c>
      <c r="D95" s="183" t="s">
        <v>101</v>
      </c>
      <c r="E95" s="183" t="s">
        <v>213</v>
      </c>
      <c r="F95" s="183" t="s">
        <v>103</v>
      </c>
      <c r="G95" s="180">
        <v>5</v>
      </c>
      <c r="H95" s="185"/>
      <c r="I95" s="185"/>
      <c r="J95" s="185"/>
      <c r="K95" s="185"/>
      <c r="L95" s="185"/>
    </row>
    <row r="96" spans="1:12" ht="19.5" customHeight="1" x14ac:dyDescent="0.2">
      <c r="A96" s="181">
        <v>8</v>
      </c>
      <c r="B96" s="181">
        <v>3110</v>
      </c>
      <c r="C96" s="187">
        <v>1571500149695</v>
      </c>
      <c r="D96" s="188" t="s">
        <v>101</v>
      </c>
      <c r="E96" s="185" t="s">
        <v>298</v>
      </c>
      <c r="F96" s="185" t="s">
        <v>299</v>
      </c>
      <c r="G96" s="180">
        <v>7</v>
      </c>
      <c r="H96" s="185"/>
      <c r="I96" s="185"/>
      <c r="J96" s="185"/>
      <c r="K96" s="185"/>
      <c r="L96" s="185"/>
    </row>
    <row r="97" spans="1:12" ht="19.5" customHeight="1" x14ac:dyDescent="0.2">
      <c r="A97" s="181">
        <v>9</v>
      </c>
      <c r="B97" s="181">
        <v>3217</v>
      </c>
      <c r="C97" s="186" t="s">
        <v>300</v>
      </c>
      <c r="D97" s="183" t="s">
        <v>101</v>
      </c>
      <c r="E97" s="183" t="s">
        <v>301</v>
      </c>
      <c r="F97" s="183" t="s">
        <v>103</v>
      </c>
      <c r="G97" s="180">
        <v>17</v>
      </c>
      <c r="H97" s="190" t="s">
        <v>893</v>
      </c>
      <c r="I97" s="185"/>
      <c r="J97" s="185"/>
      <c r="K97" s="185"/>
      <c r="L97" s="185"/>
    </row>
    <row r="98" spans="1:12" ht="19.5" customHeight="1" x14ac:dyDescent="0.2">
      <c r="A98" s="181">
        <v>10</v>
      </c>
      <c r="B98" s="181">
        <v>3219</v>
      </c>
      <c r="C98" s="182" t="s">
        <v>302</v>
      </c>
      <c r="D98" s="183" t="s">
        <v>101</v>
      </c>
      <c r="E98" s="183" t="s">
        <v>303</v>
      </c>
      <c r="F98" s="183" t="s">
        <v>103</v>
      </c>
      <c r="G98" s="180">
        <v>18</v>
      </c>
      <c r="H98" s="190" t="s">
        <v>893</v>
      </c>
      <c r="I98" s="185"/>
      <c r="J98" s="185"/>
      <c r="K98" s="185"/>
      <c r="L98" s="185"/>
    </row>
    <row r="99" spans="1:12" ht="19.5" customHeight="1" x14ac:dyDescent="0.2">
      <c r="A99" s="181">
        <v>11</v>
      </c>
      <c r="B99" s="181">
        <v>3145</v>
      </c>
      <c r="C99" s="182">
        <v>7571500122214</v>
      </c>
      <c r="D99" s="183" t="s">
        <v>101</v>
      </c>
      <c r="E99" s="183" t="s">
        <v>304</v>
      </c>
      <c r="F99" s="183" t="s">
        <v>103</v>
      </c>
      <c r="G99" s="180">
        <v>2</v>
      </c>
      <c r="H99" s="185"/>
      <c r="I99" s="185"/>
      <c r="J99" s="185"/>
      <c r="K99" s="185"/>
      <c r="L99" s="185"/>
    </row>
    <row r="100" spans="1:12" ht="19.5" customHeight="1" x14ac:dyDescent="0.2">
      <c r="A100" s="181">
        <v>12</v>
      </c>
      <c r="B100" s="181">
        <v>3114</v>
      </c>
      <c r="C100" s="182">
        <v>1571500146670</v>
      </c>
      <c r="D100" s="183" t="s">
        <v>101</v>
      </c>
      <c r="E100" s="183" t="s">
        <v>305</v>
      </c>
      <c r="F100" s="183" t="s">
        <v>306</v>
      </c>
      <c r="G100" s="180">
        <v>0</v>
      </c>
      <c r="H100" s="185"/>
      <c r="I100" s="185"/>
      <c r="J100" s="185"/>
      <c r="K100" s="185"/>
      <c r="L100" s="185"/>
    </row>
    <row r="101" spans="1:12" ht="19.5" customHeight="1" x14ac:dyDescent="0.2">
      <c r="A101" s="181">
        <v>13</v>
      </c>
      <c r="B101" s="181">
        <v>3149</v>
      </c>
      <c r="C101" s="182">
        <v>1579902019505</v>
      </c>
      <c r="D101" s="183" t="s">
        <v>121</v>
      </c>
      <c r="E101" s="183" t="s">
        <v>307</v>
      </c>
      <c r="F101" s="183" t="s">
        <v>308</v>
      </c>
      <c r="G101" s="180">
        <v>9</v>
      </c>
      <c r="H101" s="185"/>
      <c r="I101" s="185"/>
      <c r="J101" s="185"/>
      <c r="K101" s="185"/>
      <c r="L101" s="185"/>
    </row>
    <row r="102" spans="1:12" ht="19.5" customHeight="1" x14ac:dyDescent="0.2">
      <c r="A102" s="181">
        <v>14</v>
      </c>
      <c r="B102" s="181">
        <v>3120</v>
      </c>
      <c r="C102" s="182" t="s">
        <v>309</v>
      </c>
      <c r="D102" s="183" t="s">
        <v>121</v>
      </c>
      <c r="E102" s="183" t="s">
        <v>310</v>
      </c>
      <c r="F102" s="183" t="s">
        <v>229</v>
      </c>
      <c r="G102" s="180">
        <v>19</v>
      </c>
      <c r="H102" s="185"/>
      <c r="I102" s="185"/>
      <c r="J102" s="185"/>
      <c r="K102" s="185"/>
      <c r="L102" s="185"/>
    </row>
    <row r="103" spans="1:12" ht="19.5" customHeight="1" x14ac:dyDescent="0.2">
      <c r="A103" s="181">
        <v>15</v>
      </c>
      <c r="B103" s="181">
        <v>3122</v>
      </c>
      <c r="C103" s="182">
        <v>1571500148028</v>
      </c>
      <c r="D103" s="183" t="s">
        <v>121</v>
      </c>
      <c r="E103" s="183" t="s">
        <v>311</v>
      </c>
      <c r="F103" s="183" t="s">
        <v>153</v>
      </c>
      <c r="G103" s="180">
        <v>8</v>
      </c>
      <c r="H103" s="185"/>
      <c r="I103" s="185"/>
      <c r="J103" s="185"/>
      <c r="K103" s="185"/>
      <c r="L103" s="185"/>
    </row>
    <row r="104" spans="1:12" ht="19.5" customHeight="1" x14ac:dyDescent="0.2">
      <c r="A104" s="181">
        <v>16</v>
      </c>
      <c r="B104" s="181">
        <v>3154</v>
      </c>
      <c r="C104" s="182">
        <v>571500014686</v>
      </c>
      <c r="D104" s="183" t="s">
        <v>121</v>
      </c>
      <c r="E104" s="183" t="s">
        <v>312</v>
      </c>
      <c r="F104" s="183" t="s">
        <v>103</v>
      </c>
      <c r="G104" s="180">
        <v>10</v>
      </c>
      <c r="H104" s="185"/>
      <c r="I104" s="185"/>
      <c r="J104" s="185"/>
      <c r="K104" s="185"/>
      <c r="L104" s="185"/>
    </row>
    <row r="105" spans="1:12" ht="19.5" customHeight="1" x14ac:dyDescent="0.2">
      <c r="A105" s="181">
        <v>17</v>
      </c>
      <c r="B105" s="181">
        <v>3158</v>
      </c>
      <c r="C105" s="182" t="s">
        <v>313</v>
      </c>
      <c r="D105" s="183" t="s">
        <v>121</v>
      </c>
      <c r="E105" s="183" t="s">
        <v>314</v>
      </c>
      <c r="F105" s="183" t="s">
        <v>103</v>
      </c>
      <c r="G105" s="180">
        <v>14</v>
      </c>
      <c r="H105" s="185"/>
      <c r="I105" s="185"/>
      <c r="J105" s="185"/>
      <c r="K105" s="185"/>
      <c r="L105" s="185"/>
    </row>
    <row r="106" spans="1:12" ht="19.5" customHeight="1" x14ac:dyDescent="0.2">
      <c r="A106" s="181">
        <v>18</v>
      </c>
      <c r="B106" s="181">
        <v>3128</v>
      </c>
      <c r="C106" s="182">
        <v>571500006357</v>
      </c>
      <c r="D106" s="183" t="s">
        <v>121</v>
      </c>
      <c r="E106" s="183" t="s">
        <v>317</v>
      </c>
      <c r="F106" s="183" t="s">
        <v>103</v>
      </c>
      <c r="G106" s="180">
        <v>15</v>
      </c>
      <c r="H106" s="185"/>
      <c r="I106" s="185"/>
      <c r="J106" s="185"/>
      <c r="K106" s="185"/>
      <c r="L106" s="185"/>
    </row>
    <row r="107" spans="1:12" ht="19.5" customHeight="1" x14ac:dyDescent="0.2">
      <c r="A107" s="181">
        <v>19</v>
      </c>
      <c r="B107" s="181">
        <v>3129</v>
      </c>
      <c r="C107" s="191">
        <v>571500014627</v>
      </c>
      <c r="D107" s="192" t="s">
        <v>121</v>
      </c>
      <c r="E107" s="193" t="s">
        <v>318</v>
      </c>
      <c r="F107" s="193" t="s">
        <v>147</v>
      </c>
      <c r="G107" s="184">
        <v>4</v>
      </c>
      <c r="H107" s="185"/>
      <c r="I107" s="185"/>
      <c r="J107" s="185"/>
      <c r="K107" s="185"/>
      <c r="L107" s="185"/>
    </row>
    <row r="108" spans="1:12" ht="19.5" customHeight="1" x14ac:dyDescent="0.2">
      <c r="A108" s="181">
        <v>20</v>
      </c>
      <c r="B108" s="181">
        <v>3130</v>
      </c>
      <c r="C108" s="182">
        <v>7571500122371</v>
      </c>
      <c r="D108" s="183" t="s">
        <v>121</v>
      </c>
      <c r="E108" s="183" t="s">
        <v>319</v>
      </c>
      <c r="F108" s="183" t="s">
        <v>103</v>
      </c>
      <c r="G108" s="180">
        <v>12</v>
      </c>
      <c r="H108" s="185"/>
      <c r="I108" s="185"/>
      <c r="J108" s="185"/>
      <c r="K108" s="185"/>
      <c r="L108" s="185"/>
    </row>
    <row r="109" spans="1:12" ht="19.5" customHeight="1" x14ac:dyDescent="0.2">
      <c r="A109" s="181">
        <v>21</v>
      </c>
      <c r="B109" s="227">
        <v>3332</v>
      </c>
      <c r="C109" s="228"/>
      <c r="D109" s="219" t="s">
        <v>101</v>
      </c>
      <c r="E109" s="221" t="s">
        <v>201</v>
      </c>
      <c r="F109" s="221" t="s">
        <v>103</v>
      </c>
      <c r="G109" s="220" t="s">
        <v>1031</v>
      </c>
      <c r="H109" s="185"/>
      <c r="I109" s="185"/>
      <c r="J109" s="185"/>
      <c r="K109" s="185"/>
      <c r="L109" s="185"/>
    </row>
    <row r="110" spans="1:12" ht="19.5" customHeight="1" x14ac:dyDescent="0.2">
      <c r="A110" s="181">
        <v>22</v>
      </c>
      <c r="B110" s="217">
        <v>3333</v>
      </c>
      <c r="C110" s="218"/>
      <c r="D110" s="219" t="s">
        <v>101</v>
      </c>
      <c r="E110" s="219" t="s">
        <v>195</v>
      </c>
      <c r="F110" s="219" t="s">
        <v>103</v>
      </c>
      <c r="G110" s="220" t="s">
        <v>1031</v>
      </c>
      <c r="H110" s="221"/>
      <c r="I110" s="185"/>
      <c r="J110" s="185"/>
      <c r="K110" s="185"/>
      <c r="L110" s="185"/>
    </row>
    <row r="111" spans="1:12" ht="19.5" customHeight="1" x14ac:dyDescent="0.2">
      <c r="A111" s="181">
        <v>23</v>
      </c>
      <c r="B111" s="227">
        <v>3339</v>
      </c>
      <c r="C111" s="228"/>
      <c r="D111" s="219" t="s">
        <v>121</v>
      </c>
      <c r="E111" s="219" t="s">
        <v>209</v>
      </c>
      <c r="F111" s="219" t="s">
        <v>103</v>
      </c>
      <c r="G111" s="220" t="s">
        <v>1031</v>
      </c>
      <c r="H111" s="185"/>
      <c r="I111" s="185"/>
      <c r="J111" s="185"/>
      <c r="K111" s="185"/>
      <c r="L111" s="185"/>
    </row>
    <row r="112" spans="1:12" ht="19.5" customHeight="1" x14ac:dyDescent="0.2">
      <c r="A112" s="181">
        <v>24</v>
      </c>
      <c r="B112" s="227">
        <v>3322</v>
      </c>
      <c r="C112" s="228"/>
      <c r="D112" s="219" t="s">
        <v>121</v>
      </c>
      <c r="E112" s="219" t="s">
        <v>222</v>
      </c>
      <c r="F112" s="219" t="s">
        <v>103</v>
      </c>
      <c r="G112" s="220" t="s">
        <v>1031</v>
      </c>
      <c r="H112" s="185"/>
      <c r="I112" s="185"/>
      <c r="J112" s="185"/>
      <c r="K112" s="185"/>
      <c r="L112" s="185"/>
    </row>
    <row r="113" spans="1:12" ht="19.5" customHeight="1" x14ac:dyDescent="0.2">
      <c r="A113" s="181">
        <v>25</v>
      </c>
      <c r="B113" s="227">
        <v>3337</v>
      </c>
      <c r="C113" s="228"/>
      <c r="D113" s="219" t="s">
        <v>121</v>
      </c>
      <c r="E113" s="219" t="s">
        <v>190</v>
      </c>
      <c r="F113" s="219" t="s">
        <v>103</v>
      </c>
      <c r="G113" s="220" t="s">
        <v>1031</v>
      </c>
      <c r="H113" s="185"/>
      <c r="I113" s="185"/>
      <c r="J113" s="185"/>
      <c r="K113" s="185"/>
      <c r="L113" s="185"/>
    </row>
    <row r="114" spans="1:12" ht="19.5" customHeight="1" x14ac:dyDescent="0.2">
      <c r="A114" s="181"/>
      <c r="B114" s="181"/>
      <c r="C114" s="182"/>
      <c r="D114" s="183"/>
      <c r="E114" s="183"/>
      <c r="F114" s="183"/>
      <c r="G114" s="184"/>
      <c r="H114" s="185"/>
      <c r="I114" s="185"/>
      <c r="J114" s="185"/>
      <c r="K114" s="185"/>
      <c r="L114" s="185"/>
    </row>
    <row r="115" spans="1:12" ht="19.5" customHeight="1" x14ac:dyDescent="0.2">
      <c r="A115" s="181"/>
      <c r="B115" s="181"/>
      <c r="C115" s="186"/>
      <c r="D115" s="183"/>
      <c r="E115" s="183"/>
      <c r="F115" s="183"/>
      <c r="G115" s="184"/>
      <c r="H115" s="185"/>
      <c r="I115" s="185"/>
      <c r="J115" s="185"/>
      <c r="K115" s="185"/>
      <c r="L115" s="185"/>
    </row>
    <row r="116" spans="1:12" ht="19.5" customHeight="1" x14ac:dyDescent="0.2">
      <c r="A116" s="181"/>
      <c r="B116" s="181"/>
      <c r="C116" s="182"/>
      <c r="D116" s="183"/>
      <c r="E116" s="183"/>
      <c r="F116" s="183"/>
      <c r="G116" s="184"/>
      <c r="H116" s="185"/>
      <c r="I116" s="185"/>
      <c r="J116" s="185"/>
      <c r="K116" s="185"/>
      <c r="L116" s="185"/>
    </row>
    <row r="117" spans="1:12" ht="19.5" customHeight="1" x14ac:dyDescent="0.2">
      <c r="A117" s="181"/>
      <c r="B117" s="194"/>
      <c r="C117" s="195"/>
      <c r="D117" s="120" t="s">
        <v>194</v>
      </c>
      <c r="E117" s="120" t="s">
        <v>212</v>
      </c>
      <c r="F117" s="120" t="s">
        <v>103</v>
      </c>
      <c r="G117" s="202" t="s">
        <v>1031</v>
      </c>
      <c r="H117" s="203"/>
      <c r="I117" s="204" t="s">
        <v>1053</v>
      </c>
      <c r="J117" s="185"/>
      <c r="K117" s="185"/>
      <c r="L117" s="185"/>
    </row>
    <row r="118" spans="1:12" ht="19.5" customHeight="1" x14ac:dyDescent="0.2">
      <c r="A118" s="181"/>
      <c r="B118" s="178"/>
      <c r="C118" s="179"/>
      <c r="D118" s="188"/>
      <c r="E118" s="185"/>
      <c r="F118" s="185"/>
      <c r="G118" s="185"/>
      <c r="H118" s="185"/>
      <c r="I118" s="185"/>
      <c r="J118" s="185"/>
      <c r="K118" s="185"/>
      <c r="L118" s="185"/>
    </row>
    <row r="119" spans="1:12" ht="19.5" customHeight="1" x14ac:dyDescent="0.2">
      <c r="A119" s="181"/>
      <c r="B119" s="178"/>
      <c r="C119" s="179"/>
      <c r="D119" s="188"/>
      <c r="E119" s="185"/>
      <c r="F119" s="185"/>
      <c r="G119" s="185"/>
      <c r="H119" s="185"/>
      <c r="I119" s="185"/>
      <c r="J119" s="185"/>
      <c r="K119" s="185"/>
      <c r="L119" s="185"/>
    </row>
    <row r="120" spans="1:12" ht="19.5" customHeight="1" x14ac:dyDescent="0.2">
      <c r="A120" s="181"/>
      <c r="B120" s="178"/>
      <c r="C120" s="179"/>
      <c r="D120" s="188"/>
      <c r="E120" s="185"/>
      <c r="F120" s="185"/>
      <c r="G120" s="185"/>
      <c r="H120" s="185"/>
      <c r="I120" s="185"/>
      <c r="J120" s="185"/>
      <c r="K120" s="185"/>
      <c r="L120" s="185"/>
    </row>
    <row r="121" spans="1:12" ht="19.5" customHeight="1" x14ac:dyDescent="0.2">
      <c r="A121" s="181"/>
      <c r="B121" s="178"/>
      <c r="C121" s="179" t="s">
        <v>1066</v>
      </c>
      <c r="D121" s="188">
        <f>COUNTIF(D89:D115,"เด็กชาย")</f>
        <v>14</v>
      </c>
      <c r="E121" s="185"/>
      <c r="F121" s="185"/>
      <c r="G121" s="185"/>
      <c r="H121" s="185"/>
      <c r="I121" s="185"/>
      <c r="J121" s="185"/>
      <c r="K121" s="185"/>
      <c r="L121" s="185"/>
    </row>
    <row r="122" spans="1:12" ht="19.5" customHeight="1" x14ac:dyDescent="0.2">
      <c r="A122" s="178"/>
      <c r="B122" s="178"/>
      <c r="C122" s="179" t="s">
        <v>1067</v>
      </c>
      <c r="D122" s="188">
        <f>COUNTIF(D89:D115,"เด็กหญิง")</f>
        <v>11</v>
      </c>
      <c r="E122" s="197"/>
      <c r="F122" s="197" t="s">
        <v>38</v>
      </c>
      <c r="G122" s="178">
        <f>I122+K122</f>
        <v>28</v>
      </c>
      <c r="H122" s="185" t="s">
        <v>894</v>
      </c>
      <c r="I122" s="178">
        <v>10</v>
      </c>
      <c r="J122" s="185" t="s">
        <v>895</v>
      </c>
      <c r="K122" s="178">
        <v>18</v>
      </c>
      <c r="L122" s="185"/>
    </row>
    <row r="123" spans="1:12" ht="19.5" customHeight="1" x14ac:dyDescent="0.2">
      <c r="A123" s="178"/>
      <c r="B123" s="178"/>
      <c r="C123" s="179" t="s">
        <v>38</v>
      </c>
      <c r="D123" s="188">
        <f>SUM(D121:D122)</f>
        <v>25</v>
      </c>
      <c r="E123" s="197"/>
      <c r="F123" s="178"/>
      <c r="G123" s="185"/>
      <c r="H123" s="178"/>
      <c r="I123" s="185"/>
      <c r="J123" s="178"/>
      <c r="K123" s="185"/>
      <c r="L123" s="198" t="str">
        <f>L82</f>
        <v>วันที่ 21 พ.ค. 2569</v>
      </c>
    </row>
    <row r="124" spans="1:12" ht="19.5" customHeight="1" x14ac:dyDescent="0.2">
      <c r="A124" s="263" t="s">
        <v>890</v>
      </c>
      <c r="B124" s="264"/>
      <c r="C124" s="264"/>
      <c r="D124" s="264"/>
      <c r="E124" s="264"/>
      <c r="F124" s="264"/>
      <c r="G124" s="264"/>
      <c r="H124" s="264"/>
      <c r="I124" s="264"/>
      <c r="J124" s="264"/>
      <c r="K124" s="264"/>
      <c r="L124" s="264"/>
    </row>
    <row r="125" spans="1:12" ht="19.5" customHeight="1" x14ac:dyDescent="0.2">
      <c r="A125" s="269" t="str">
        <f>A84</f>
        <v>ร่าง-รายชื่อนักเรียนปีการศึกษา 1/2569</v>
      </c>
      <c r="B125" s="269"/>
      <c r="C125" s="269"/>
      <c r="D125" s="269"/>
      <c r="E125" s="269"/>
      <c r="F125" s="269"/>
      <c r="G125" s="269"/>
      <c r="H125" s="269"/>
      <c r="I125" s="269"/>
      <c r="J125" s="269"/>
      <c r="K125" s="269"/>
      <c r="L125" s="269"/>
    </row>
    <row r="126" spans="1:12" ht="19.5" customHeight="1" x14ac:dyDescent="0.2">
      <c r="A126" s="173"/>
      <c r="B126" s="173"/>
      <c r="C126" s="173"/>
      <c r="D126" s="173"/>
      <c r="E126" s="173"/>
      <c r="F126" s="173"/>
      <c r="G126" s="173"/>
      <c r="H126" s="173"/>
      <c r="I126" s="173"/>
      <c r="J126" s="173"/>
      <c r="K126" s="173"/>
      <c r="L126" s="173"/>
    </row>
    <row r="127" spans="1:12" ht="19.5" customHeight="1" x14ac:dyDescent="0.2">
      <c r="A127" s="267" t="s">
        <v>898</v>
      </c>
      <c r="B127" s="267"/>
      <c r="C127" s="267"/>
      <c r="D127" s="268" t="s">
        <v>902</v>
      </c>
      <c r="E127" s="268"/>
      <c r="F127" s="268"/>
      <c r="G127" s="268"/>
      <c r="H127" s="268"/>
      <c r="I127" s="268"/>
      <c r="J127" s="268"/>
      <c r="K127" s="268"/>
      <c r="L127" s="268"/>
    </row>
    <row r="128" spans="1:12" ht="19.5" customHeight="1" x14ac:dyDescent="0.2">
      <c r="A128" s="175"/>
      <c r="B128" s="175"/>
      <c r="C128" s="176"/>
      <c r="D128" s="174"/>
      <c r="E128" s="174"/>
      <c r="F128" s="177"/>
      <c r="G128" s="175"/>
      <c r="H128" s="175"/>
      <c r="I128" s="175"/>
      <c r="J128" s="175"/>
      <c r="K128" s="175"/>
      <c r="L128" s="175"/>
    </row>
    <row r="129" spans="1:12" ht="19.5" customHeight="1" x14ac:dyDescent="0.2">
      <c r="A129" s="178" t="s">
        <v>43</v>
      </c>
      <c r="B129" s="178" t="s">
        <v>44</v>
      </c>
      <c r="C129" s="179" t="s">
        <v>45</v>
      </c>
      <c r="D129" s="265" t="s">
        <v>892</v>
      </c>
      <c r="E129" s="266"/>
      <c r="F129" s="266"/>
      <c r="G129" s="180"/>
      <c r="H129" s="180"/>
      <c r="I129" s="180"/>
      <c r="J129" s="180"/>
      <c r="K129" s="180"/>
      <c r="L129" s="180"/>
    </row>
    <row r="130" spans="1:12" ht="19.5" customHeight="1" x14ac:dyDescent="0.2">
      <c r="A130" s="181">
        <v>1</v>
      </c>
      <c r="B130" s="181">
        <v>3179</v>
      </c>
      <c r="C130" s="182" t="s">
        <v>401</v>
      </c>
      <c r="D130" s="183" t="s">
        <v>101</v>
      </c>
      <c r="E130" s="183" t="s">
        <v>402</v>
      </c>
      <c r="F130" s="183" t="s">
        <v>103</v>
      </c>
      <c r="G130" s="184"/>
      <c r="H130" s="185"/>
      <c r="I130" s="185"/>
      <c r="J130" s="185"/>
      <c r="K130" s="185"/>
      <c r="L130" s="185"/>
    </row>
    <row r="131" spans="1:12" ht="19.5" customHeight="1" x14ac:dyDescent="0.2">
      <c r="A131" s="181">
        <v>2</v>
      </c>
      <c r="B131" s="181">
        <v>3029</v>
      </c>
      <c r="C131" s="182" t="s">
        <v>324</v>
      </c>
      <c r="D131" s="183" t="s">
        <v>101</v>
      </c>
      <c r="E131" s="183" t="s">
        <v>207</v>
      </c>
      <c r="F131" s="183" t="s">
        <v>103</v>
      </c>
      <c r="G131" s="180"/>
      <c r="H131" s="185"/>
      <c r="I131" s="185"/>
      <c r="J131" s="185"/>
      <c r="K131" s="185"/>
      <c r="L131" s="185"/>
    </row>
    <row r="132" spans="1:12" ht="19.5" customHeight="1" x14ac:dyDescent="0.2">
      <c r="A132" s="181">
        <v>3</v>
      </c>
      <c r="B132" s="181">
        <v>3182</v>
      </c>
      <c r="C132" s="182" t="s">
        <v>407</v>
      </c>
      <c r="D132" s="183" t="s">
        <v>101</v>
      </c>
      <c r="E132" s="183" t="s">
        <v>408</v>
      </c>
      <c r="F132" s="183" t="s">
        <v>103</v>
      </c>
      <c r="G132" s="180"/>
      <c r="H132" s="185"/>
      <c r="I132" s="185"/>
      <c r="J132" s="185"/>
      <c r="K132" s="185"/>
      <c r="L132" s="185"/>
    </row>
    <row r="133" spans="1:12" ht="19.5" customHeight="1" x14ac:dyDescent="0.2">
      <c r="A133" s="181">
        <v>4</v>
      </c>
      <c r="B133" s="181">
        <v>3031</v>
      </c>
      <c r="C133" s="186">
        <v>1579901953417</v>
      </c>
      <c r="D133" s="183" t="s">
        <v>101</v>
      </c>
      <c r="E133" s="183" t="s">
        <v>325</v>
      </c>
      <c r="F133" s="183" t="s">
        <v>326</v>
      </c>
      <c r="G133" s="180"/>
      <c r="H133" s="185"/>
      <c r="I133" s="185"/>
      <c r="J133" s="185"/>
      <c r="K133" s="185"/>
      <c r="L133" s="185"/>
    </row>
    <row r="134" spans="1:12" ht="19.5" customHeight="1" x14ac:dyDescent="0.2">
      <c r="A134" s="181">
        <v>5</v>
      </c>
      <c r="B134" s="181">
        <v>3032</v>
      </c>
      <c r="C134" s="182">
        <v>571500005814</v>
      </c>
      <c r="D134" s="183" t="s">
        <v>101</v>
      </c>
      <c r="E134" s="183" t="s">
        <v>368</v>
      </c>
      <c r="F134" s="183" t="s">
        <v>229</v>
      </c>
      <c r="G134" s="180"/>
      <c r="H134" s="185"/>
      <c r="I134" s="185"/>
      <c r="J134" s="185"/>
      <c r="K134" s="185"/>
      <c r="L134" s="185"/>
    </row>
    <row r="135" spans="1:12" ht="19.5" customHeight="1" x14ac:dyDescent="0.2">
      <c r="A135" s="181">
        <v>6</v>
      </c>
      <c r="B135" s="181">
        <v>3033</v>
      </c>
      <c r="C135" s="182" t="s">
        <v>327</v>
      </c>
      <c r="D135" s="183" t="s">
        <v>101</v>
      </c>
      <c r="E135" s="183" t="s">
        <v>328</v>
      </c>
      <c r="F135" s="183" t="s">
        <v>158</v>
      </c>
      <c r="G135" s="180"/>
      <c r="H135" s="185"/>
      <c r="I135" s="185"/>
      <c r="J135" s="185"/>
      <c r="K135" s="185"/>
      <c r="L135" s="185"/>
    </row>
    <row r="136" spans="1:12" ht="19.5" customHeight="1" x14ac:dyDescent="0.2">
      <c r="A136" s="181">
        <v>7</v>
      </c>
      <c r="B136" s="181">
        <v>3023</v>
      </c>
      <c r="C136" s="186" t="s">
        <v>363</v>
      </c>
      <c r="D136" s="183" t="s">
        <v>101</v>
      </c>
      <c r="E136" s="183" t="s">
        <v>369</v>
      </c>
      <c r="F136" s="183" t="s">
        <v>370</v>
      </c>
      <c r="G136" s="180"/>
      <c r="H136" s="185"/>
      <c r="I136" s="185"/>
      <c r="J136" s="185"/>
      <c r="K136" s="185"/>
      <c r="L136" s="185"/>
    </row>
    <row r="137" spans="1:12" ht="19.5" customHeight="1" x14ac:dyDescent="0.2">
      <c r="A137" s="181">
        <v>8</v>
      </c>
      <c r="B137" s="181">
        <v>3038</v>
      </c>
      <c r="C137" s="187">
        <v>1101700632237</v>
      </c>
      <c r="D137" s="188" t="s">
        <v>101</v>
      </c>
      <c r="E137" s="185" t="s">
        <v>371</v>
      </c>
      <c r="F137" s="185" t="s">
        <v>372</v>
      </c>
      <c r="G137" s="180"/>
      <c r="H137" s="185"/>
      <c r="I137" s="185"/>
      <c r="J137" s="185"/>
      <c r="K137" s="185"/>
      <c r="L137" s="185"/>
    </row>
    <row r="138" spans="1:12" ht="19.5" customHeight="1" x14ac:dyDescent="0.2">
      <c r="A138" s="181">
        <v>9</v>
      </c>
      <c r="B138" s="181">
        <v>3185</v>
      </c>
      <c r="C138" s="186" t="s">
        <v>413</v>
      </c>
      <c r="D138" s="183" t="s">
        <v>101</v>
      </c>
      <c r="E138" s="183" t="s">
        <v>154</v>
      </c>
      <c r="F138" s="183" t="s">
        <v>103</v>
      </c>
      <c r="G138" s="180"/>
      <c r="H138" s="185"/>
      <c r="I138" s="185"/>
      <c r="J138" s="185"/>
      <c r="K138" s="185"/>
      <c r="L138" s="185"/>
    </row>
    <row r="139" spans="1:12" ht="19.5" customHeight="1" x14ac:dyDescent="0.2">
      <c r="A139" s="181">
        <v>10</v>
      </c>
      <c r="B139" s="181">
        <v>3043</v>
      </c>
      <c r="C139" s="182">
        <v>1571500144898</v>
      </c>
      <c r="D139" s="183" t="s">
        <v>101</v>
      </c>
      <c r="E139" s="183" t="s">
        <v>377</v>
      </c>
      <c r="F139" s="183" t="s">
        <v>378</v>
      </c>
      <c r="G139" s="180"/>
      <c r="H139" s="185"/>
      <c r="I139" s="185"/>
      <c r="J139" s="185"/>
      <c r="K139" s="185"/>
      <c r="L139" s="185"/>
    </row>
    <row r="140" spans="1:12" ht="19.5" customHeight="1" x14ac:dyDescent="0.2">
      <c r="A140" s="181">
        <v>11</v>
      </c>
      <c r="B140" s="181">
        <v>3187</v>
      </c>
      <c r="C140" s="182" t="s">
        <v>418</v>
      </c>
      <c r="D140" s="183" t="s">
        <v>101</v>
      </c>
      <c r="E140" s="183" t="s">
        <v>419</v>
      </c>
      <c r="F140" s="183" t="s">
        <v>103</v>
      </c>
      <c r="G140" s="180"/>
      <c r="H140" s="185"/>
      <c r="I140" s="185"/>
      <c r="J140" s="185"/>
      <c r="K140" s="185"/>
      <c r="L140" s="185"/>
    </row>
    <row r="141" spans="1:12" ht="19.5" customHeight="1" x14ac:dyDescent="0.2">
      <c r="A141" s="181">
        <v>12</v>
      </c>
      <c r="B141" s="181">
        <v>3049</v>
      </c>
      <c r="C141" s="182">
        <v>1579901949550</v>
      </c>
      <c r="D141" s="183" t="s">
        <v>101</v>
      </c>
      <c r="E141" s="183" t="s">
        <v>337</v>
      </c>
      <c r="F141" s="183" t="s">
        <v>175</v>
      </c>
      <c r="G141" s="180"/>
      <c r="H141" s="185"/>
      <c r="I141" s="185"/>
      <c r="J141" s="185"/>
      <c r="K141" s="185"/>
      <c r="L141" s="185"/>
    </row>
    <row r="142" spans="1:12" ht="19.5" customHeight="1" x14ac:dyDescent="0.2">
      <c r="A142" s="181">
        <v>13</v>
      </c>
      <c r="B142" s="181">
        <v>3054</v>
      </c>
      <c r="C142" s="182">
        <v>571500005997</v>
      </c>
      <c r="D142" s="183" t="s">
        <v>121</v>
      </c>
      <c r="E142" s="183" t="s">
        <v>340</v>
      </c>
      <c r="F142" s="183" t="s">
        <v>341</v>
      </c>
      <c r="G142" s="180"/>
      <c r="H142" s="185"/>
      <c r="I142" s="185"/>
      <c r="J142" s="185"/>
      <c r="K142" s="185"/>
      <c r="L142" s="185"/>
    </row>
    <row r="143" spans="1:12" ht="19.5" customHeight="1" x14ac:dyDescent="0.2">
      <c r="A143" s="181">
        <v>14</v>
      </c>
      <c r="B143" s="181">
        <v>3056</v>
      </c>
      <c r="C143" s="182" t="s">
        <v>344</v>
      </c>
      <c r="D143" s="183" t="s">
        <v>121</v>
      </c>
      <c r="E143" s="183" t="s">
        <v>345</v>
      </c>
      <c r="F143" s="183" t="s">
        <v>153</v>
      </c>
      <c r="G143" s="180"/>
      <c r="H143" s="185"/>
      <c r="I143" s="185"/>
      <c r="J143" s="185"/>
      <c r="K143" s="185"/>
      <c r="L143" s="185"/>
    </row>
    <row r="144" spans="1:12" ht="19.5" customHeight="1" x14ac:dyDescent="0.2">
      <c r="A144" s="181">
        <v>15</v>
      </c>
      <c r="B144" s="181">
        <v>3189</v>
      </c>
      <c r="C144" s="182" t="s">
        <v>407</v>
      </c>
      <c r="D144" s="183" t="s">
        <v>121</v>
      </c>
      <c r="E144" s="183" t="s">
        <v>425</v>
      </c>
      <c r="F144" s="183" t="s">
        <v>103</v>
      </c>
      <c r="G144" s="180"/>
      <c r="H144" s="185"/>
      <c r="I144" s="185"/>
      <c r="J144" s="185"/>
      <c r="K144" s="185"/>
      <c r="L144" s="185"/>
    </row>
    <row r="145" spans="1:12" ht="19.5" customHeight="1" x14ac:dyDescent="0.2">
      <c r="A145" s="181">
        <v>16</v>
      </c>
      <c r="B145" s="181">
        <v>3058</v>
      </c>
      <c r="C145" s="182" t="s">
        <v>382</v>
      </c>
      <c r="D145" s="183" t="s">
        <v>121</v>
      </c>
      <c r="E145" s="183" t="s">
        <v>383</v>
      </c>
      <c r="F145" s="183" t="s">
        <v>103</v>
      </c>
      <c r="G145" s="180"/>
      <c r="H145" s="185"/>
      <c r="I145" s="185"/>
      <c r="J145" s="185"/>
      <c r="K145" s="185"/>
      <c r="L145" s="185"/>
    </row>
    <row r="146" spans="1:12" ht="19.5" customHeight="1" x14ac:dyDescent="0.2">
      <c r="A146" s="181">
        <v>17</v>
      </c>
      <c r="B146" s="181">
        <v>3060</v>
      </c>
      <c r="C146" s="191" t="s">
        <v>384</v>
      </c>
      <c r="D146" s="192" t="s">
        <v>121</v>
      </c>
      <c r="E146" s="193" t="s">
        <v>385</v>
      </c>
      <c r="F146" s="193" t="s">
        <v>103</v>
      </c>
      <c r="G146" s="180"/>
      <c r="H146" s="185"/>
      <c r="I146" s="185"/>
      <c r="J146" s="185"/>
      <c r="K146" s="185"/>
      <c r="L146" s="185"/>
    </row>
    <row r="147" spans="1:12" ht="19.5" customHeight="1" x14ac:dyDescent="0.2">
      <c r="A147" s="181">
        <v>18</v>
      </c>
      <c r="B147" s="181">
        <v>3192</v>
      </c>
      <c r="C147" s="182" t="s">
        <v>430</v>
      </c>
      <c r="D147" s="183" t="s">
        <v>121</v>
      </c>
      <c r="E147" s="183" t="s">
        <v>431</v>
      </c>
      <c r="F147" s="183" t="s">
        <v>103</v>
      </c>
      <c r="G147" s="180"/>
      <c r="H147" s="185"/>
      <c r="I147" s="185"/>
      <c r="J147" s="185"/>
      <c r="K147" s="185"/>
      <c r="L147" s="185"/>
    </row>
    <row r="148" spans="1:12" ht="19.5" customHeight="1" x14ac:dyDescent="0.2">
      <c r="A148" s="181">
        <v>19</v>
      </c>
      <c r="B148" s="181">
        <v>3195</v>
      </c>
      <c r="C148" s="182" t="s">
        <v>435</v>
      </c>
      <c r="D148" s="183" t="s">
        <v>121</v>
      </c>
      <c r="E148" s="183" t="s">
        <v>436</v>
      </c>
      <c r="F148" s="183" t="s">
        <v>103</v>
      </c>
      <c r="G148" s="180"/>
      <c r="H148" s="185"/>
      <c r="I148" s="185"/>
      <c r="J148" s="185"/>
      <c r="K148" s="185"/>
      <c r="L148" s="185"/>
    </row>
    <row r="149" spans="1:12" ht="19.5" customHeight="1" x14ac:dyDescent="0.2">
      <c r="A149" s="181">
        <v>20</v>
      </c>
      <c r="B149" s="178">
        <v>3074</v>
      </c>
      <c r="C149" s="187">
        <v>1571500146912</v>
      </c>
      <c r="D149" s="188" t="s">
        <v>121</v>
      </c>
      <c r="E149" s="185" t="s">
        <v>354</v>
      </c>
      <c r="F149" s="185" t="s">
        <v>355</v>
      </c>
      <c r="G149" s="184"/>
      <c r="H149" s="185"/>
      <c r="I149" s="185"/>
      <c r="J149" s="185"/>
      <c r="K149" s="185"/>
      <c r="L149" s="185"/>
    </row>
    <row r="150" spans="1:12" ht="19.5" customHeight="1" x14ac:dyDescent="0.2">
      <c r="A150" s="181">
        <v>21</v>
      </c>
      <c r="B150" s="181">
        <v>3198</v>
      </c>
      <c r="C150" s="182" t="s">
        <v>413</v>
      </c>
      <c r="D150" s="183" t="s">
        <v>121</v>
      </c>
      <c r="E150" s="183" t="s">
        <v>442</v>
      </c>
      <c r="F150" s="183" t="s">
        <v>158</v>
      </c>
      <c r="G150" s="180"/>
      <c r="H150" s="185"/>
      <c r="I150" s="185"/>
      <c r="J150" s="185"/>
      <c r="K150" s="185"/>
      <c r="L150" s="185"/>
    </row>
    <row r="151" spans="1:12" ht="19.5" customHeight="1" x14ac:dyDescent="0.2">
      <c r="A151" s="181">
        <v>22</v>
      </c>
      <c r="B151" s="181">
        <v>3079</v>
      </c>
      <c r="C151" s="182">
        <v>1571500145711</v>
      </c>
      <c r="D151" s="183" t="s">
        <v>121</v>
      </c>
      <c r="E151" s="183" t="s">
        <v>392</v>
      </c>
      <c r="F151" s="183" t="s">
        <v>393</v>
      </c>
      <c r="G151" s="180"/>
      <c r="H151" s="185"/>
      <c r="I151" s="185"/>
      <c r="J151" s="185"/>
      <c r="K151" s="185"/>
      <c r="L151" s="185"/>
    </row>
    <row r="152" spans="1:12" ht="19.5" customHeight="1" x14ac:dyDescent="0.2">
      <c r="A152" s="181">
        <v>23</v>
      </c>
      <c r="B152" s="181">
        <v>3080</v>
      </c>
      <c r="C152" s="182">
        <v>1571500146564</v>
      </c>
      <c r="D152" s="183" t="s">
        <v>121</v>
      </c>
      <c r="E152" s="183" t="s">
        <v>358</v>
      </c>
      <c r="F152" s="183" t="s">
        <v>359</v>
      </c>
      <c r="G152" s="184"/>
      <c r="H152" s="185"/>
      <c r="I152" s="185"/>
      <c r="J152" s="185"/>
      <c r="K152" s="185"/>
      <c r="L152" s="185"/>
    </row>
    <row r="153" spans="1:12" ht="19.5" customHeight="1" x14ac:dyDescent="0.2">
      <c r="A153" s="181">
        <v>24</v>
      </c>
      <c r="B153" s="181">
        <v>3177</v>
      </c>
      <c r="C153" s="186" t="s">
        <v>399</v>
      </c>
      <c r="D153" s="183" t="s">
        <v>121</v>
      </c>
      <c r="E153" s="183" t="s">
        <v>400</v>
      </c>
      <c r="F153" s="183" t="s">
        <v>175</v>
      </c>
      <c r="G153" s="180"/>
      <c r="H153" s="185"/>
      <c r="I153" s="185"/>
      <c r="J153" s="185"/>
      <c r="K153" s="185"/>
      <c r="L153" s="185"/>
    </row>
    <row r="154" spans="1:12" ht="19.5" customHeight="1" x14ac:dyDescent="0.2">
      <c r="A154" s="181">
        <v>25</v>
      </c>
      <c r="B154" s="178">
        <v>3082</v>
      </c>
      <c r="C154" s="187" t="s">
        <v>443</v>
      </c>
      <c r="D154" s="188" t="s">
        <v>121</v>
      </c>
      <c r="E154" s="185" t="s">
        <v>444</v>
      </c>
      <c r="F154" s="185" t="s">
        <v>424</v>
      </c>
      <c r="G154" s="184"/>
      <c r="H154" s="185"/>
      <c r="I154" s="185"/>
      <c r="J154" s="185"/>
      <c r="K154" s="185"/>
      <c r="L154" s="185"/>
    </row>
    <row r="155" spans="1:12" ht="19.5" customHeight="1" x14ac:dyDescent="0.2">
      <c r="A155" s="181">
        <v>26</v>
      </c>
      <c r="B155" s="181">
        <v>3254</v>
      </c>
      <c r="C155" s="182" t="s">
        <v>1049</v>
      </c>
      <c r="D155" s="188" t="s">
        <v>121</v>
      </c>
      <c r="E155" s="183" t="s">
        <v>1050</v>
      </c>
      <c r="F155" s="183" t="s">
        <v>103</v>
      </c>
      <c r="G155" s="184"/>
      <c r="H155" s="185"/>
      <c r="I155" s="185"/>
      <c r="J155" s="185"/>
      <c r="K155" s="185"/>
      <c r="L155" s="185"/>
    </row>
    <row r="156" spans="1:12" ht="19.5" customHeight="1" x14ac:dyDescent="0.2">
      <c r="A156" s="181"/>
      <c r="B156" s="181"/>
      <c r="C156" s="182"/>
      <c r="D156" s="183"/>
      <c r="E156" s="183"/>
      <c r="F156" s="183"/>
      <c r="G156" s="184"/>
      <c r="H156" s="185"/>
      <c r="I156" s="185"/>
      <c r="J156" s="185"/>
      <c r="K156" s="185"/>
      <c r="L156" s="185"/>
    </row>
    <row r="157" spans="1:12" ht="19.5" customHeight="1" x14ac:dyDescent="0.2">
      <c r="A157" s="181"/>
      <c r="B157" s="181"/>
      <c r="C157" s="182"/>
      <c r="D157" s="183"/>
      <c r="E157" s="183"/>
      <c r="F157" s="183"/>
      <c r="G157" s="184"/>
      <c r="H157" s="185"/>
      <c r="I157" s="185"/>
      <c r="J157" s="185"/>
      <c r="K157" s="185"/>
      <c r="L157" s="185"/>
    </row>
    <row r="158" spans="1:12" ht="19.5" customHeight="1" x14ac:dyDescent="0.2">
      <c r="A158" s="181"/>
      <c r="B158" s="194"/>
      <c r="C158" s="195"/>
      <c r="D158" s="196"/>
      <c r="E158" s="193"/>
      <c r="F158" s="193"/>
      <c r="G158" s="185"/>
      <c r="H158" s="185"/>
      <c r="I158" s="185"/>
      <c r="J158" s="185"/>
      <c r="K158" s="185"/>
      <c r="L158" s="185"/>
    </row>
    <row r="159" spans="1:12" ht="19.5" customHeight="1" x14ac:dyDescent="0.2">
      <c r="A159" s="181"/>
      <c r="B159" s="178"/>
      <c r="C159" s="179"/>
      <c r="D159" s="188"/>
      <c r="E159" s="185"/>
      <c r="F159" s="185"/>
      <c r="G159" s="185"/>
      <c r="H159" s="185"/>
      <c r="I159" s="185"/>
      <c r="J159" s="185"/>
      <c r="K159" s="185"/>
      <c r="L159" s="185"/>
    </row>
    <row r="160" spans="1:12" ht="19.5" customHeight="1" x14ac:dyDescent="0.2">
      <c r="A160" s="181"/>
      <c r="B160" s="178"/>
      <c r="C160" s="179"/>
      <c r="D160" s="188"/>
      <c r="E160" s="185"/>
      <c r="F160" s="185"/>
      <c r="G160" s="185"/>
      <c r="H160" s="185"/>
      <c r="I160" s="185"/>
      <c r="J160" s="185"/>
      <c r="K160" s="185"/>
      <c r="L160" s="185"/>
    </row>
    <row r="161" spans="1:12" ht="19.5" customHeight="1" x14ac:dyDescent="0.2">
      <c r="A161" s="181"/>
      <c r="B161" s="178"/>
      <c r="C161" s="179"/>
      <c r="D161" s="188"/>
      <c r="E161" s="185"/>
      <c r="F161" s="185"/>
      <c r="G161" s="185"/>
      <c r="H161" s="185"/>
      <c r="I161" s="185"/>
      <c r="J161" s="185"/>
      <c r="K161" s="185"/>
      <c r="L161" s="185"/>
    </row>
    <row r="162" spans="1:12" ht="19.5" customHeight="1" x14ac:dyDescent="0.2">
      <c r="A162" s="181"/>
      <c r="B162" s="178"/>
      <c r="C162" s="179" t="s">
        <v>1066</v>
      </c>
      <c r="D162" s="188">
        <f>COUNTIF(D130:D156,"เด็กชาย")</f>
        <v>12</v>
      </c>
      <c r="E162" s="185"/>
      <c r="F162" s="185"/>
      <c r="G162" s="185"/>
      <c r="H162" s="185"/>
      <c r="I162" s="185"/>
      <c r="J162" s="185"/>
      <c r="K162" s="185"/>
      <c r="L162" s="185"/>
    </row>
    <row r="163" spans="1:12" ht="19.5" customHeight="1" x14ac:dyDescent="0.2">
      <c r="A163" s="178"/>
      <c r="B163" s="178"/>
      <c r="C163" s="179" t="s">
        <v>1067</v>
      </c>
      <c r="D163" s="188">
        <f>COUNTIF(D130:D156,"เด็กหญิง")</f>
        <v>14</v>
      </c>
      <c r="E163" s="197"/>
      <c r="F163" s="197"/>
      <c r="G163" s="178"/>
      <c r="H163" s="185"/>
      <c r="I163" s="178"/>
      <c r="J163" s="185"/>
      <c r="K163" s="178"/>
      <c r="L163" s="185"/>
    </row>
    <row r="164" spans="1:12" ht="19.5" customHeight="1" x14ac:dyDescent="0.2">
      <c r="A164" s="178"/>
      <c r="B164" s="178"/>
      <c r="C164" s="179" t="s">
        <v>38</v>
      </c>
      <c r="D164" s="188">
        <f>SUM(D162:D163)</f>
        <v>26</v>
      </c>
      <c r="E164" s="197"/>
      <c r="F164" s="178"/>
      <c r="G164" s="185"/>
      <c r="H164" s="178"/>
      <c r="I164" s="185"/>
      <c r="J164" s="178"/>
      <c r="K164" s="185"/>
      <c r="L164" s="198" t="str">
        <f>L123</f>
        <v>วันที่ 21 พ.ค. 2569</v>
      </c>
    </row>
    <row r="165" spans="1:12" ht="19.5" customHeight="1" x14ac:dyDescent="0.2">
      <c r="A165" s="263" t="s">
        <v>890</v>
      </c>
      <c r="B165" s="264"/>
      <c r="C165" s="264"/>
      <c r="D165" s="264"/>
      <c r="E165" s="264"/>
      <c r="F165" s="264"/>
      <c r="G165" s="264"/>
      <c r="H165" s="264"/>
      <c r="I165" s="264"/>
      <c r="J165" s="264"/>
      <c r="K165" s="264"/>
      <c r="L165" s="264"/>
    </row>
    <row r="166" spans="1:12" ht="19.5" customHeight="1" x14ac:dyDescent="0.2">
      <c r="A166" s="269" t="str">
        <f>A125</f>
        <v>ร่าง-รายชื่อนักเรียนปีการศึกษา 1/2569</v>
      </c>
      <c r="B166" s="269"/>
      <c r="C166" s="269"/>
      <c r="D166" s="269"/>
      <c r="E166" s="269"/>
      <c r="F166" s="269"/>
      <c r="G166" s="269"/>
      <c r="H166" s="269"/>
      <c r="I166" s="269"/>
      <c r="J166" s="269"/>
      <c r="K166" s="269"/>
      <c r="L166" s="269"/>
    </row>
    <row r="167" spans="1:12" ht="19.5" customHeight="1" x14ac:dyDescent="0.2">
      <c r="A167" s="173"/>
      <c r="B167" s="173"/>
      <c r="C167" s="173"/>
      <c r="D167" s="173"/>
      <c r="E167" s="173"/>
      <c r="F167" s="173"/>
      <c r="G167" s="173"/>
      <c r="H167" s="173"/>
      <c r="I167" s="173"/>
      <c r="J167" s="173"/>
      <c r="K167" s="173"/>
      <c r="L167" s="173"/>
    </row>
    <row r="168" spans="1:12" ht="19.5" customHeight="1" x14ac:dyDescent="0.2">
      <c r="A168" s="267" t="s">
        <v>905</v>
      </c>
      <c r="B168" s="267"/>
      <c r="C168" s="267"/>
      <c r="D168" s="268" t="s">
        <v>1075</v>
      </c>
      <c r="E168" s="268"/>
      <c r="F168" s="268"/>
      <c r="G168" s="268"/>
      <c r="H168" s="268"/>
      <c r="I168" s="268"/>
      <c r="J168" s="268"/>
      <c r="K168" s="268"/>
      <c r="L168" s="268"/>
    </row>
    <row r="169" spans="1:12" ht="19.5" customHeight="1" x14ac:dyDescent="0.2">
      <c r="A169" s="175"/>
      <c r="B169" s="175"/>
      <c r="C169" s="176"/>
      <c r="D169" s="174"/>
      <c r="E169" s="174"/>
      <c r="F169" s="177"/>
      <c r="G169" s="175"/>
      <c r="H169" s="175"/>
      <c r="I169" s="175"/>
      <c r="J169" s="175"/>
      <c r="K169" s="175"/>
      <c r="L169" s="175"/>
    </row>
    <row r="170" spans="1:12" ht="19.5" customHeight="1" x14ac:dyDescent="0.2">
      <c r="A170" s="178" t="s">
        <v>43</v>
      </c>
      <c r="B170" s="178" t="s">
        <v>44</v>
      </c>
      <c r="C170" s="179" t="s">
        <v>45</v>
      </c>
      <c r="D170" s="265" t="s">
        <v>892</v>
      </c>
      <c r="E170" s="266"/>
      <c r="F170" s="266"/>
      <c r="G170" s="180"/>
      <c r="H170" s="180"/>
      <c r="I170" s="180"/>
      <c r="J170" s="180"/>
      <c r="K170" s="180"/>
      <c r="L170" s="180"/>
    </row>
    <row r="171" spans="1:12" ht="19.5" customHeight="1" x14ac:dyDescent="0.2">
      <c r="A171" s="181">
        <v>1</v>
      </c>
      <c r="B171" s="181">
        <v>3025</v>
      </c>
      <c r="C171" s="182" t="s">
        <v>320</v>
      </c>
      <c r="D171" s="183" t="s">
        <v>101</v>
      </c>
      <c r="E171" s="183" t="s">
        <v>321</v>
      </c>
      <c r="F171" s="183" t="s">
        <v>164</v>
      </c>
      <c r="G171" s="184"/>
      <c r="H171" s="185"/>
      <c r="I171" s="185"/>
      <c r="J171" s="185"/>
      <c r="K171" s="185"/>
      <c r="L171" s="185"/>
    </row>
    <row r="172" spans="1:12" ht="19.5" customHeight="1" x14ac:dyDescent="0.2">
      <c r="A172" s="181">
        <v>2</v>
      </c>
      <c r="B172" s="181">
        <v>3023</v>
      </c>
      <c r="C172" s="182" t="s">
        <v>363</v>
      </c>
      <c r="D172" s="183" t="s">
        <v>101</v>
      </c>
      <c r="E172" s="183" t="s">
        <v>364</v>
      </c>
      <c r="F172" s="183" t="s">
        <v>103</v>
      </c>
      <c r="G172" s="180"/>
      <c r="H172" s="185"/>
      <c r="I172" s="185"/>
      <c r="J172" s="185"/>
      <c r="K172" s="185"/>
      <c r="L172" s="185"/>
    </row>
    <row r="173" spans="1:12" ht="19.5" customHeight="1" x14ac:dyDescent="0.2">
      <c r="A173" s="181">
        <v>3</v>
      </c>
      <c r="B173" s="181">
        <v>3028</v>
      </c>
      <c r="C173" s="182" t="s">
        <v>365</v>
      </c>
      <c r="D173" s="183" t="s">
        <v>101</v>
      </c>
      <c r="E173" s="183" t="s">
        <v>219</v>
      </c>
      <c r="F173" s="183" t="s">
        <v>147</v>
      </c>
      <c r="G173" s="180"/>
      <c r="H173" s="185"/>
      <c r="I173" s="185"/>
      <c r="J173" s="185"/>
      <c r="K173" s="185"/>
      <c r="L173" s="185"/>
    </row>
    <row r="174" spans="1:12" ht="19.5" customHeight="1" x14ac:dyDescent="0.2">
      <c r="A174" s="181">
        <v>4</v>
      </c>
      <c r="B174" s="181">
        <v>3180</v>
      </c>
      <c r="C174" s="186" t="s">
        <v>403</v>
      </c>
      <c r="D174" s="183" t="s">
        <v>101</v>
      </c>
      <c r="E174" s="183" t="s">
        <v>404</v>
      </c>
      <c r="F174" s="183" t="s">
        <v>103</v>
      </c>
      <c r="G174" s="180"/>
      <c r="H174" s="185"/>
      <c r="I174" s="185"/>
      <c r="J174" s="185"/>
      <c r="K174" s="185"/>
      <c r="L174" s="185"/>
    </row>
    <row r="175" spans="1:12" ht="19.5" customHeight="1" x14ac:dyDescent="0.2">
      <c r="A175" s="181">
        <v>5</v>
      </c>
      <c r="B175" s="181">
        <v>3183</v>
      </c>
      <c r="C175" s="182" t="s">
        <v>409</v>
      </c>
      <c r="D175" s="183" t="s">
        <v>101</v>
      </c>
      <c r="E175" s="183" t="s">
        <v>410</v>
      </c>
      <c r="F175" s="183" t="s">
        <v>103</v>
      </c>
      <c r="G175" s="180"/>
      <c r="H175" s="185"/>
      <c r="I175" s="185"/>
      <c r="J175" s="185"/>
      <c r="K175" s="185"/>
      <c r="L175" s="185"/>
    </row>
    <row r="176" spans="1:12" ht="19.5" customHeight="1" x14ac:dyDescent="0.2">
      <c r="A176" s="181">
        <v>6</v>
      </c>
      <c r="B176" s="181">
        <v>3039</v>
      </c>
      <c r="C176" s="182">
        <v>1579901931413</v>
      </c>
      <c r="D176" s="183" t="s">
        <v>101</v>
      </c>
      <c r="E176" s="183" t="s">
        <v>373</v>
      </c>
      <c r="F176" s="183" t="s">
        <v>175</v>
      </c>
      <c r="G176" s="180"/>
      <c r="H176" s="185"/>
      <c r="I176" s="185"/>
      <c r="J176" s="185"/>
      <c r="K176" s="185"/>
      <c r="L176" s="185"/>
    </row>
    <row r="177" spans="1:12" ht="19.5" customHeight="1" x14ac:dyDescent="0.2">
      <c r="A177" s="181">
        <v>7</v>
      </c>
      <c r="B177" s="181">
        <v>3041</v>
      </c>
      <c r="C177" s="186">
        <v>1571500145924</v>
      </c>
      <c r="D177" s="183" t="s">
        <v>101</v>
      </c>
      <c r="E177" s="183" t="s">
        <v>330</v>
      </c>
      <c r="F177" s="183" t="s">
        <v>331</v>
      </c>
      <c r="G177" s="180"/>
      <c r="H177" s="185"/>
      <c r="I177" s="185"/>
      <c r="J177" s="185"/>
      <c r="K177" s="185"/>
      <c r="L177" s="185"/>
    </row>
    <row r="178" spans="1:12" ht="19.5" customHeight="1" x14ac:dyDescent="0.2">
      <c r="A178" s="181">
        <v>8</v>
      </c>
      <c r="B178" s="181">
        <v>3186</v>
      </c>
      <c r="C178" s="187" t="s">
        <v>414</v>
      </c>
      <c r="D178" s="188" t="s">
        <v>101</v>
      </c>
      <c r="E178" s="185" t="s">
        <v>415</v>
      </c>
      <c r="F178" s="185" t="s">
        <v>103</v>
      </c>
      <c r="G178" s="180"/>
      <c r="H178" s="185"/>
      <c r="I178" s="185"/>
      <c r="J178" s="185"/>
      <c r="K178" s="185"/>
      <c r="L178" s="185"/>
    </row>
    <row r="179" spans="1:12" ht="19.5" customHeight="1" x14ac:dyDescent="0.2">
      <c r="A179" s="181">
        <v>9</v>
      </c>
      <c r="B179" s="181">
        <v>3042</v>
      </c>
      <c r="C179" s="186">
        <v>1839300120485</v>
      </c>
      <c r="D179" s="183" t="s">
        <v>101</v>
      </c>
      <c r="E179" s="183" t="s">
        <v>376</v>
      </c>
      <c r="F179" s="183" t="s">
        <v>299</v>
      </c>
      <c r="G179" s="180"/>
      <c r="H179" s="185"/>
      <c r="I179" s="185"/>
      <c r="J179" s="185"/>
      <c r="K179" s="185"/>
      <c r="L179" s="185"/>
    </row>
    <row r="180" spans="1:12" ht="19.5" customHeight="1" x14ac:dyDescent="0.2">
      <c r="A180" s="181">
        <v>10</v>
      </c>
      <c r="B180" s="181">
        <v>3188</v>
      </c>
      <c r="C180" s="182" t="s">
        <v>420</v>
      </c>
      <c r="D180" s="183" t="s">
        <v>101</v>
      </c>
      <c r="E180" s="183" t="s">
        <v>421</v>
      </c>
      <c r="F180" s="183" t="s">
        <v>103</v>
      </c>
      <c r="G180" s="180"/>
      <c r="H180" s="185"/>
      <c r="I180" s="185"/>
      <c r="J180" s="185"/>
      <c r="K180" s="185"/>
      <c r="L180" s="185"/>
    </row>
    <row r="181" spans="1:12" ht="19.5" customHeight="1" x14ac:dyDescent="0.2">
      <c r="A181" s="181">
        <v>11</v>
      </c>
      <c r="B181" s="181">
        <v>3047</v>
      </c>
      <c r="C181" s="182" t="s">
        <v>334</v>
      </c>
      <c r="D181" s="183" t="s">
        <v>101</v>
      </c>
      <c r="E181" s="183" t="s">
        <v>335</v>
      </c>
      <c r="F181" s="183" t="s">
        <v>103</v>
      </c>
      <c r="G181" s="180"/>
      <c r="H181" s="185"/>
      <c r="I181" s="185"/>
      <c r="J181" s="185"/>
      <c r="K181" s="185"/>
      <c r="L181" s="185"/>
    </row>
    <row r="182" spans="1:12" ht="19.5" customHeight="1" x14ac:dyDescent="0.2">
      <c r="A182" s="181">
        <v>12</v>
      </c>
      <c r="B182" s="181">
        <v>3048</v>
      </c>
      <c r="C182" s="182">
        <v>1571500144154</v>
      </c>
      <c r="D182" s="183" t="s">
        <v>101</v>
      </c>
      <c r="E182" s="183" t="s">
        <v>336</v>
      </c>
      <c r="F182" s="183" t="s">
        <v>124</v>
      </c>
      <c r="G182" s="180"/>
      <c r="H182" s="185"/>
      <c r="I182" s="185"/>
      <c r="J182" s="185"/>
      <c r="K182" s="185"/>
      <c r="L182" s="185"/>
    </row>
    <row r="183" spans="1:12" ht="19.5" customHeight="1" x14ac:dyDescent="0.2">
      <c r="A183" s="181">
        <v>13</v>
      </c>
      <c r="B183" s="181">
        <v>3055</v>
      </c>
      <c r="C183" s="182">
        <v>1508600073018</v>
      </c>
      <c r="D183" s="183" t="s">
        <v>121</v>
      </c>
      <c r="E183" s="183" t="s">
        <v>342</v>
      </c>
      <c r="F183" s="183" t="s">
        <v>343</v>
      </c>
      <c r="G183" s="180"/>
      <c r="H183" s="185"/>
      <c r="I183" s="185"/>
      <c r="J183" s="185"/>
      <c r="K183" s="185"/>
      <c r="L183" s="185"/>
    </row>
    <row r="184" spans="1:12" ht="19.5" customHeight="1" x14ac:dyDescent="0.2">
      <c r="A184" s="181">
        <v>14</v>
      </c>
      <c r="B184" s="181">
        <v>3190</v>
      </c>
      <c r="C184" s="182" t="s">
        <v>426</v>
      </c>
      <c r="D184" s="183" t="s">
        <v>121</v>
      </c>
      <c r="E184" s="183" t="s">
        <v>427</v>
      </c>
      <c r="F184" s="183" t="s">
        <v>103</v>
      </c>
      <c r="G184" s="180"/>
      <c r="H184" s="185"/>
      <c r="I184" s="185"/>
      <c r="J184" s="185"/>
      <c r="K184" s="185"/>
      <c r="L184" s="185"/>
    </row>
    <row r="185" spans="1:12" ht="19.5" customHeight="1" x14ac:dyDescent="0.2">
      <c r="A185" s="181">
        <v>15</v>
      </c>
      <c r="B185" s="181">
        <v>3061</v>
      </c>
      <c r="C185" s="182">
        <v>571500006110</v>
      </c>
      <c r="D185" s="183" t="s">
        <v>121</v>
      </c>
      <c r="E185" s="183" t="s">
        <v>386</v>
      </c>
      <c r="F185" s="183" t="s">
        <v>229</v>
      </c>
      <c r="G185" s="180"/>
      <c r="H185" s="185"/>
      <c r="I185" s="185"/>
      <c r="J185" s="185"/>
      <c r="K185" s="185"/>
      <c r="L185" s="185"/>
    </row>
    <row r="186" spans="1:12" ht="19.5" customHeight="1" x14ac:dyDescent="0.2">
      <c r="A186" s="181">
        <v>16</v>
      </c>
      <c r="B186" s="181">
        <v>3063</v>
      </c>
      <c r="C186" s="182" t="s">
        <v>350</v>
      </c>
      <c r="D186" s="183" t="s">
        <v>121</v>
      </c>
      <c r="E186" s="183" t="s">
        <v>233</v>
      </c>
      <c r="F186" s="183" t="s">
        <v>103</v>
      </c>
      <c r="G186" s="180"/>
      <c r="H186" s="185"/>
      <c r="I186" s="185"/>
      <c r="J186" s="185"/>
      <c r="K186" s="185"/>
      <c r="L186" s="185"/>
    </row>
    <row r="187" spans="1:12" ht="19.5" customHeight="1" x14ac:dyDescent="0.2">
      <c r="A187" s="181">
        <v>17</v>
      </c>
      <c r="B187" s="181">
        <v>3193</v>
      </c>
      <c r="C187" s="182" t="s">
        <v>409</v>
      </c>
      <c r="D187" s="183" t="s">
        <v>121</v>
      </c>
      <c r="E187" s="183" t="s">
        <v>432</v>
      </c>
      <c r="F187" s="183" t="s">
        <v>103</v>
      </c>
      <c r="G187" s="180"/>
      <c r="H187" s="185"/>
      <c r="I187" s="185"/>
      <c r="J187" s="185"/>
      <c r="K187" s="185"/>
      <c r="L187" s="185"/>
    </row>
    <row r="188" spans="1:12" ht="19.5" customHeight="1" x14ac:dyDescent="0.2">
      <c r="A188" s="181">
        <v>18</v>
      </c>
      <c r="B188" s="181">
        <v>3066</v>
      </c>
      <c r="C188" s="182" t="s">
        <v>387</v>
      </c>
      <c r="D188" s="183" t="s">
        <v>121</v>
      </c>
      <c r="E188" s="183" t="s">
        <v>388</v>
      </c>
      <c r="F188" s="183" t="s">
        <v>103</v>
      </c>
      <c r="G188" s="180"/>
      <c r="H188" s="185"/>
      <c r="I188" s="185"/>
      <c r="J188" s="185"/>
      <c r="K188" s="185"/>
      <c r="L188" s="185"/>
    </row>
    <row r="189" spans="1:12" ht="19.5" customHeight="1" x14ac:dyDescent="0.2">
      <c r="A189" s="181">
        <v>19</v>
      </c>
      <c r="B189" s="181">
        <v>3196</v>
      </c>
      <c r="C189" s="182" t="s">
        <v>437</v>
      </c>
      <c r="D189" s="183" t="s">
        <v>121</v>
      </c>
      <c r="E189" s="183" t="s">
        <v>438</v>
      </c>
      <c r="F189" s="183" t="s">
        <v>103</v>
      </c>
      <c r="G189" s="180"/>
      <c r="H189" s="185"/>
      <c r="I189" s="185"/>
      <c r="J189" s="185"/>
      <c r="K189" s="185"/>
      <c r="L189" s="185"/>
    </row>
    <row r="190" spans="1:12" ht="19.5" customHeight="1" x14ac:dyDescent="0.2">
      <c r="A190" s="181">
        <v>20</v>
      </c>
      <c r="B190" s="181">
        <v>3199</v>
      </c>
      <c r="C190" s="191" t="s">
        <v>414</v>
      </c>
      <c r="D190" s="192" t="s">
        <v>121</v>
      </c>
      <c r="E190" s="193" t="s">
        <v>439</v>
      </c>
      <c r="F190" s="193" t="s">
        <v>103</v>
      </c>
      <c r="G190" s="184"/>
      <c r="H190" s="185"/>
      <c r="I190" s="185"/>
      <c r="J190" s="185"/>
      <c r="K190" s="185"/>
      <c r="L190" s="185"/>
    </row>
    <row r="191" spans="1:12" ht="19.5" customHeight="1" x14ac:dyDescent="0.2">
      <c r="A191" s="181">
        <v>21</v>
      </c>
      <c r="B191" s="181">
        <v>3068</v>
      </c>
      <c r="C191" s="182">
        <v>7571500121986</v>
      </c>
      <c r="D191" s="183" t="s">
        <v>121</v>
      </c>
      <c r="E191" s="183" t="s">
        <v>353</v>
      </c>
      <c r="F191" s="183" t="s">
        <v>103</v>
      </c>
      <c r="G191" s="180"/>
      <c r="H191" s="185"/>
      <c r="I191" s="185"/>
      <c r="J191" s="185"/>
      <c r="K191" s="185"/>
      <c r="L191" s="185"/>
    </row>
    <row r="192" spans="1:12" ht="19.5" customHeight="1" x14ac:dyDescent="0.2">
      <c r="A192" s="181">
        <v>22</v>
      </c>
      <c r="B192" s="181">
        <v>3077</v>
      </c>
      <c r="C192" s="182">
        <v>1579901930417</v>
      </c>
      <c r="D192" s="183" t="s">
        <v>121</v>
      </c>
      <c r="E192" s="183" t="s">
        <v>356</v>
      </c>
      <c r="F192" s="183" t="s">
        <v>357</v>
      </c>
      <c r="G192" s="180"/>
      <c r="H192" s="185"/>
      <c r="I192" s="185"/>
      <c r="J192" s="185"/>
      <c r="K192" s="185"/>
      <c r="L192" s="185"/>
    </row>
    <row r="193" spans="1:12" ht="19.5" customHeight="1" x14ac:dyDescent="0.2">
      <c r="A193" s="181">
        <v>23</v>
      </c>
      <c r="B193" s="178">
        <v>3081</v>
      </c>
      <c r="C193" s="187">
        <v>1571500144707</v>
      </c>
      <c r="D193" s="188" t="s">
        <v>121</v>
      </c>
      <c r="E193" s="185" t="s">
        <v>394</v>
      </c>
      <c r="F193" s="185" t="s">
        <v>395</v>
      </c>
      <c r="G193" s="184"/>
      <c r="H193" s="185"/>
      <c r="I193" s="185"/>
      <c r="J193" s="185"/>
      <c r="K193" s="185"/>
      <c r="L193" s="185"/>
    </row>
    <row r="194" spans="1:12" ht="19.5" customHeight="1" x14ac:dyDescent="0.2">
      <c r="A194" s="181">
        <v>24</v>
      </c>
      <c r="B194" s="181">
        <v>3177</v>
      </c>
      <c r="C194" s="182" t="s">
        <v>399</v>
      </c>
      <c r="D194" s="183" t="s">
        <v>121</v>
      </c>
      <c r="E194" s="183" t="s">
        <v>396</v>
      </c>
      <c r="F194" s="183" t="s">
        <v>103</v>
      </c>
      <c r="G194" s="180"/>
      <c r="H194" s="185"/>
      <c r="I194" s="185"/>
      <c r="J194" s="185"/>
      <c r="K194" s="185"/>
      <c r="L194" s="185"/>
    </row>
    <row r="195" spans="1:12" ht="19.5" customHeight="1" x14ac:dyDescent="0.2">
      <c r="A195" s="181"/>
      <c r="B195" s="181"/>
      <c r="C195" s="182"/>
      <c r="D195" s="183"/>
      <c r="E195" s="183"/>
      <c r="F195" s="183"/>
      <c r="G195" s="180"/>
      <c r="H195" s="185"/>
      <c r="I195" s="185"/>
      <c r="J195" s="185"/>
      <c r="K195" s="185"/>
      <c r="L195" s="185"/>
    </row>
    <row r="196" spans="1:12" ht="19.5" customHeight="1" x14ac:dyDescent="0.2">
      <c r="A196" s="181"/>
      <c r="B196" s="181"/>
      <c r="C196" s="182"/>
      <c r="D196" s="183"/>
      <c r="E196" s="183"/>
      <c r="F196" s="183"/>
      <c r="G196" s="180"/>
      <c r="H196" s="185"/>
      <c r="I196" s="185"/>
      <c r="J196" s="185"/>
      <c r="K196" s="185"/>
      <c r="L196" s="185"/>
    </row>
    <row r="197" spans="1:12" ht="19.5" customHeight="1" x14ac:dyDescent="0.2">
      <c r="A197" s="181"/>
      <c r="B197" s="181"/>
      <c r="C197" s="186"/>
      <c r="D197" s="183"/>
      <c r="E197" s="183"/>
      <c r="F197" s="183"/>
      <c r="G197" s="184"/>
      <c r="H197" s="185"/>
      <c r="I197" s="185"/>
      <c r="J197" s="185"/>
      <c r="K197" s="185"/>
      <c r="L197" s="185"/>
    </row>
    <row r="198" spans="1:12" ht="19.5" customHeight="1" x14ac:dyDescent="0.2">
      <c r="A198" s="181"/>
      <c r="B198" s="181"/>
      <c r="C198" s="182"/>
      <c r="D198" s="183"/>
      <c r="E198" s="183"/>
      <c r="F198" s="183"/>
      <c r="G198" s="184"/>
      <c r="H198" s="185"/>
      <c r="I198" s="185"/>
      <c r="J198" s="185"/>
      <c r="K198" s="185"/>
      <c r="L198" s="185"/>
    </row>
    <row r="199" spans="1:12" ht="19.5" customHeight="1" x14ac:dyDescent="0.2">
      <c r="A199" s="181"/>
      <c r="B199" s="194"/>
      <c r="C199" s="195"/>
      <c r="D199" s="196"/>
      <c r="E199" s="193"/>
      <c r="F199" s="193"/>
      <c r="G199" s="185"/>
      <c r="H199" s="185"/>
      <c r="I199" s="185"/>
      <c r="J199" s="185"/>
      <c r="K199" s="185"/>
      <c r="L199" s="185"/>
    </row>
    <row r="200" spans="1:12" ht="19.5" customHeight="1" x14ac:dyDescent="0.2">
      <c r="A200" s="181"/>
      <c r="B200" s="178"/>
      <c r="C200" s="179"/>
      <c r="D200" s="188"/>
      <c r="E200" s="185"/>
      <c r="F200" s="185"/>
      <c r="G200" s="185"/>
      <c r="H200" s="185"/>
      <c r="I200" s="185"/>
      <c r="J200" s="185"/>
      <c r="K200" s="185"/>
      <c r="L200" s="185"/>
    </row>
    <row r="201" spans="1:12" ht="19.5" customHeight="1" x14ac:dyDescent="0.2">
      <c r="A201" s="181"/>
      <c r="B201" s="178"/>
      <c r="C201" s="179"/>
      <c r="D201" s="188"/>
      <c r="E201" s="185"/>
      <c r="F201" s="185"/>
      <c r="G201" s="185"/>
      <c r="H201" s="185"/>
      <c r="I201" s="185"/>
      <c r="J201" s="185"/>
      <c r="K201" s="185"/>
      <c r="L201" s="185"/>
    </row>
    <row r="202" spans="1:12" ht="19.5" customHeight="1" x14ac:dyDescent="0.2">
      <c r="A202" s="181"/>
      <c r="B202" s="178"/>
      <c r="C202" s="179"/>
      <c r="D202" s="188"/>
      <c r="E202" s="185"/>
      <c r="F202" s="185"/>
      <c r="G202" s="185"/>
      <c r="H202" s="185"/>
      <c r="I202" s="185"/>
      <c r="J202" s="185"/>
      <c r="K202" s="185"/>
      <c r="L202" s="185"/>
    </row>
    <row r="203" spans="1:12" ht="19.5" customHeight="1" x14ac:dyDescent="0.2">
      <c r="A203" s="181"/>
      <c r="B203" s="178"/>
      <c r="C203" s="179" t="s">
        <v>1066</v>
      </c>
      <c r="D203" s="188">
        <f>COUNTIF(D171:D197,"เด็กชาย")</f>
        <v>12</v>
      </c>
      <c r="E203" s="185"/>
      <c r="F203" s="185"/>
      <c r="G203" s="185"/>
      <c r="H203" s="185"/>
      <c r="I203" s="185"/>
      <c r="J203" s="185"/>
      <c r="K203" s="185"/>
      <c r="L203" s="185"/>
    </row>
    <row r="204" spans="1:12" ht="19.5" customHeight="1" x14ac:dyDescent="0.2">
      <c r="A204" s="178"/>
      <c r="B204" s="178"/>
      <c r="C204" s="179" t="s">
        <v>1067</v>
      </c>
      <c r="D204" s="188">
        <f>COUNTIF(D171:D197,"เด็กหญิง")</f>
        <v>12</v>
      </c>
      <c r="E204" s="197"/>
      <c r="F204" s="197"/>
      <c r="G204" s="178"/>
      <c r="H204" s="185"/>
      <c r="I204" s="178"/>
      <c r="J204" s="185"/>
      <c r="K204" s="178"/>
      <c r="L204" s="185"/>
    </row>
    <row r="205" spans="1:12" ht="19.5" customHeight="1" x14ac:dyDescent="0.2">
      <c r="A205" s="178"/>
      <c r="B205" s="178"/>
      <c r="C205" s="179" t="s">
        <v>38</v>
      </c>
      <c r="D205" s="188">
        <f>SUM(D203:D204)</f>
        <v>24</v>
      </c>
      <c r="E205" s="197"/>
      <c r="F205" s="178"/>
      <c r="G205" s="185"/>
      <c r="H205" s="178"/>
      <c r="I205" s="185"/>
      <c r="J205" s="178"/>
      <c r="K205" s="185"/>
      <c r="L205" s="198" t="str">
        <f>L164</f>
        <v>วันที่ 21 พ.ค. 2569</v>
      </c>
    </row>
    <row r="206" spans="1:12" ht="19.5" customHeight="1" x14ac:dyDescent="0.2">
      <c r="A206" s="263" t="s">
        <v>890</v>
      </c>
      <c r="B206" s="264"/>
      <c r="C206" s="264"/>
      <c r="D206" s="264"/>
      <c r="E206" s="264"/>
      <c r="F206" s="264"/>
      <c r="G206" s="264"/>
      <c r="H206" s="264"/>
      <c r="I206" s="264"/>
      <c r="J206" s="264"/>
      <c r="K206" s="264"/>
      <c r="L206" s="264"/>
    </row>
    <row r="207" spans="1:12" ht="19.5" customHeight="1" x14ac:dyDescent="0.2">
      <c r="A207" s="269" t="str">
        <f>A166</f>
        <v>ร่าง-รายชื่อนักเรียนปีการศึกษา 1/2569</v>
      </c>
      <c r="B207" s="269"/>
      <c r="C207" s="269"/>
      <c r="D207" s="269"/>
      <c r="E207" s="269"/>
      <c r="F207" s="269"/>
      <c r="G207" s="269"/>
      <c r="H207" s="269"/>
      <c r="I207" s="269"/>
      <c r="J207" s="269"/>
      <c r="K207" s="269"/>
      <c r="L207" s="269"/>
    </row>
    <row r="208" spans="1:12" ht="19.5" customHeight="1" x14ac:dyDescent="0.2">
      <c r="A208" s="173"/>
      <c r="B208" s="173"/>
      <c r="C208" s="173"/>
      <c r="D208" s="173"/>
      <c r="E208" s="173"/>
      <c r="F208" s="173"/>
      <c r="G208" s="173"/>
      <c r="H208" s="173"/>
      <c r="I208" s="173"/>
      <c r="J208" s="173"/>
      <c r="K208" s="173"/>
      <c r="L208" s="173"/>
    </row>
    <row r="209" spans="1:12" ht="19.5" customHeight="1" x14ac:dyDescent="0.2">
      <c r="A209" s="267" t="s">
        <v>904</v>
      </c>
      <c r="B209" s="267"/>
      <c r="C209" s="267"/>
      <c r="D209" s="268" t="s">
        <v>1076</v>
      </c>
      <c r="E209" s="268"/>
      <c r="F209" s="268"/>
      <c r="G209" s="268"/>
      <c r="H209" s="268"/>
      <c r="I209" s="268"/>
      <c r="J209" s="268"/>
      <c r="K209" s="268"/>
      <c r="L209" s="268"/>
    </row>
    <row r="210" spans="1:12" ht="19.5" customHeight="1" x14ac:dyDescent="0.2">
      <c r="A210" s="175"/>
      <c r="B210" s="175"/>
      <c r="C210" s="176"/>
      <c r="D210" s="174"/>
      <c r="E210" s="174"/>
      <c r="F210" s="177"/>
      <c r="G210" s="175"/>
      <c r="H210" s="175"/>
      <c r="I210" s="175"/>
      <c r="J210" s="175"/>
      <c r="K210" s="175"/>
      <c r="L210" s="175"/>
    </row>
    <row r="211" spans="1:12" ht="19.5" customHeight="1" x14ac:dyDescent="0.2">
      <c r="A211" s="178" t="s">
        <v>43</v>
      </c>
      <c r="B211" s="178" t="s">
        <v>44</v>
      </c>
      <c r="C211" s="179" t="s">
        <v>45</v>
      </c>
      <c r="D211" s="265" t="s">
        <v>892</v>
      </c>
      <c r="E211" s="266"/>
      <c r="F211" s="266"/>
      <c r="G211" s="180"/>
      <c r="H211" s="180"/>
      <c r="I211" s="180"/>
      <c r="J211" s="180"/>
      <c r="K211" s="180"/>
      <c r="L211" s="180"/>
    </row>
    <row r="212" spans="1:12" ht="19.5" customHeight="1" x14ac:dyDescent="0.2">
      <c r="A212" s="181">
        <v>1</v>
      </c>
      <c r="B212" s="181">
        <v>3027</v>
      </c>
      <c r="C212" s="182" t="s">
        <v>322</v>
      </c>
      <c r="D212" s="183" t="s">
        <v>101</v>
      </c>
      <c r="E212" s="183" t="s">
        <v>323</v>
      </c>
      <c r="F212" s="183" t="s">
        <v>103</v>
      </c>
      <c r="G212" s="184"/>
      <c r="H212" s="185"/>
      <c r="I212" s="185"/>
      <c r="J212" s="185"/>
      <c r="K212" s="185"/>
      <c r="L212" s="185"/>
    </row>
    <row r="213" spans="1:12" ht="19.5" customHeight="1" x14ac:dyDescent="0.2">
      <c r="A213" s="181">
        <v>2</v>
      </c>
      <c r="B213" s="181">
        <v>3181</v>
      </c>
      <c r="C213" s="182" t="s">
        <v>405</v>
      </c>
      <c r="D213" s="183" t="s">
        <v>101</v>
      </c>
      <c r="E213" s="183" t="s">
        <v>406</v>
      </c>
      <c r="F213" s="183" t="s">
        <v>103</v>
      </c>
      <c r="G213" s="180"/>
      <c r="H213" s="185"/>
      <c r="I213" s="185"/>
      <c r="J213" s="185"/>
      <c r="K213" s="185"/>
      <c r="L213" s="185"/>
    </row>
    <row r="214" spans="1:12" ht="19.5" customHeight="1" x14ac:dyDescent="0.2">
      <c r="A214" s="181">
        <v>3</v>
      </c>
      <c r="B214" s="181">
        <v>3184</v>
      </c>
      <c r="C214" s="182" t="s">
        <v>411</v>
      </c>
      <c r="D214" s="183" t="s">
        <v>101</v>
      </c>
      <c r="E214" s="183" t="s">
        <v>412</v>
      </c>
      <c r="F214" s="183" t="s">
        <v>103</v>
      </c>
      <c r="G214" s="180"/>
      <c r="H214" s="185"/>
      <c r="I214" s="185"/>
      <c r="J214" s="185"/>
      <c r="K214" s="185"/>
      <c r="L214" s="185"/>
    </row>
    <row r="215" spans="1:12" ht="19.5" customHeight="1" x14ac:dyDescent="0.2">
      <c r="A215" s="181">
        <v>4</v>
      </c>
      <c r="B215" s="181">
        <v>3030</v>
      </c>
      <c r="C215" s="186">
        <v>571500006021</v>
      </c>
      <c r="D215" s="183" t="s">
        <v>101</v>
      </c>
      <c r="E215" s="183" t="s">
        <v>366</v>
      </c>
      <c r="F215" s="183" t="s">
        <v>367</v>
      </c>
      <c r="G215" s="180"/>
      <c r="H215" s="185"/>
      <c r="I215" s="185"/>
      <c r="J215" s="185"/>
      <c r="K215" s="185"/>
      <c r="L215" s="185"/>
    </row>
    <row r="216" spans="1:12" ht="19.5" customHeight="1" x14ac:dyDescent="0.2">
      <c r="A216" s="181">
        <v>5</v>
      </c>
      <c r="B216" s="181">
        <v>3034</v>
      </c>
      <c r="C216" s="182">
        <v>1571500144588</v>
      </c>
      <c r="D216" s="183" t="s">
        <v>101</v>
      </c>
      <c r="E216" s="183" t="s">
        <v>329</v>
      </c>
      <c r="F216" s="183" t="s">
        <v>134</v>
      </c>
      <c r="G216" s="180"/>
      <c r="H216" s="185"/>
      <c r="I216" s="185"/>
      <c r="J216" s="185"/>
      <c r="K216" s="185"/>
      <c r="L216" s="185"/>
    </row>
    <row r="217" spans="1:12" ht="19.5" customHeight="1" x14ac:dyDescent="0.2">
      <c r="A217" s="181">
        <v>6</v>
      </c>
      <c r="B217" s="181">
        <v>3040</v>
      </c>
      <c r="C217" s="182" t="s">
        <v>374</v>
      </c>
      <c r="D217" s="183" t="s">
        <v>101</v>
      </c>
      <c r="E217" s="183" t="s">
        <v>375</v>
      </c>
      <c r="F217" s="183" t="s">
        <v>103</v>
      </c>
      <c r="G217" s="180"/>
      <c r="H217" s="185"/>
      <c r="I217" s="185"/>
      <c r="J217" s="185"/>
      <c r="K217" s="185"/>
      <c r="L217" s="185"/>
    </row>
    <row r="218" spans="1:12" ht="19.5" customHeight="1" x14ac:dyDescent="0.2">
      <c r="A218" s="181">
        <v>7</v>
      </c>
      <c r="B218" s="181">
        <v>3044</v>
      </c>
      <c r="C218" s="186" t="s">
        <v>332</v>
      </c>
      <c r="D218" s="183" t="s">
        <v>101</v>
      </c>
      <c r="E218" s="183" t="s">
        <v>333</v>
      </c>
      <c r="F218" s="183" t="s">
        <v>147</v>
      </c>
      <c r="G218" s="180"/>
      <c r="H218" s="185"/>
      <c r="I218" s="185"/>
      <c r="J218" s="185"/>
      <c r="K218" s="185"/>
      <c r="L218" s="185"/>
    </row>
    <row r="219" spans="1:12" ht="19.5" customHeight="1" x14ac:dyDescent="0.2">
      <c r="A219" s="181">
        <v>8</v>
      </c>
      <c r="B219" s="181">
        <v>3045</v>
      </c>
      <c r="C219" s="187" t="s">
        <v>379</v>
      </c>
      <c r="D219" s="188" t="s">
        <v>101</v>
      </c>
      <c r="E219" s="185" t="s">
        <v>380</v>
      </c>
      <c r="F219" s="185" t="s">
        <v>103</v>
      </c>
      <c r="G219" s="180"/>
      <c r="H219" s="185"/>
      <c r="I219" s="185"/>
      <c r="J219" s="185"/>
      <c r="K219" s="185"/>
      <c r="L219" s="185"/>
    </row>
    <row r="220" spans="1:12" ht="19.5" customHeight="1" x14ac:dyDescent="0.2">
      <c r="A220" s="181">
        <v>9</v>
      </c>
      <c r="B220" s="181">
        <v>3111</v>
      </c>
      <c r="C220" s="186" t="s">
        <v>416</v>
      </c>
      <c r="D220" s="183" t="s">
        <v>101</v>
      </c>
      <c r="E220" s="183" t="s">
        <v>417</v>
      </c>
      <c r="F220" s="183" t="s">
        <v>103</v>
      </c>
      <c r="G220" s="180"/>
      <c r="H220" s="185"/>
      <c r="I220" s="185"/>
      <c r="J220" s="185"/>
      <c r="K220" s="185"/>
      <c r="L220" s="185"/>
    </row>
    <row r="221" spans="1:12" ht="19.5" customHeight="1" x14ac:dyDescent="0.2">
      <c r="A221" s="181">
        <v>10</v>
      </c>
      <c r="B221" s="181">
        <v>3113</v>
      </c>
      <c r="C221" s="182" t="s">
        <v>422</v>
      </c>
      <c r="D221" s="183" t="s">
        <v>101</v>
      </c>
      <c r="E221" s="183" t="s">
        <v>423</v>
      </c>
      <c r="F221" s="183" t="s">
        <v>424</v>
      </c>
      <c r="G221" s="180"/>
      <c r="H221" s="185"/>
      <c r="I221" s="185"/>
      <c r="J221" s="185"/>
      <c r="K221" s="185"/>
      <c r="L221" s="185"/>
    </row>
    <row r="222" spans="1:12" ht="19.5" customHeight="1" x14ac:dyDescent="0.2">
      <c r="A222" s="181">
        <v>11</v>
      </c>
      <c r="B222" s="181">
        <v>3051</v>
      </c>
      <c r="C222" s="182">
        <v>7571500121960</v>
      </c>
      <c r="D222" s="183" t="s">
        <v>101</v>
      </c>
      <c r="E222" s="183" t="s">
        <v>381</v>
      </c>
      <c r="F222" s="183" t="s">
        <v>348</v>
      </c>
      <c r="G222" s="180"/>
      <c r="H222" s="185"/>
      <c r="I222" s="185"/>
      <c r="J222" s="185"/>
      <c r="K222" s="185"/>
      <c r="L222" s="185"/>
    </row>
    <row r="223" spans="1:12" ht="19.5" customHeight="1" x14ac:dyDescent="0.2">
      <c r="A223" s="181">
        <v>12</v>
      </c>
      <c r="B223" s="181">
        <v>3052</v>
      </c>
      <c r="C223" s="182" t="s">
        <v>338</v>
      </c>
      <c r="D223" s="183" t="s">
        <v>101</v>
      </c>
      <c r="E223" s="183" t="s">
        <v>339</v>
      </c>
      <c r="F223" s="183" t="s">
        <v>103</v>
      </c>
      <c r="G223" s="180"/>
      <c r="H223" s="185"/>
      <c r="I223" s="185"/>
      <c r="J223" s="185"/>
      <c r="K223" s="185"/>
      <c r="L223" s="185"/>
    </row>
    <row r="224" spans="1:12" ht="19.5" customHeight="1" x14ac:dyDescent="0.2">
      <c r="A224" s="181">
        <v>13</v>
      </c>
      <c r="B224" s="181">
        <v>3057</v>
      </c>
      <c r="C224" s="182" t="s">
        <v>346</v>
      </c>
      <c r="D224" s="183" t="s">
        <v>121</v>
      </c>
      <c r="E224" s="183" t="s">
        <v>347</v>
      </c>
      <c r="F224" s="183" t="s">
        <v>348</v>
      </c>
      <c r="G224" s="180"/>
      <c r="H224" s="185"/>
      <c r="I224" s="185"/>
      <c r="J224" s="185"/>
      <c r="K224" s="185"/>
      <c r="L224" s="185"/>
    </row>
    <row r="225" spans="1:12" ht="19.5" customHeight="1" x14ac:dyDescent="0.2">
      <c r="A225" s="181">
        <v>14</v>
      </c>
      <c r="B225" s="181">
        <v>3059</v>
      </c>
      <c r="C225" s="182">
        <v>571500006071</v>
      </c>
      <c r="D225" s="183" t="s">
        <v>121</v>
      </c>
      <c r="E225" s="183" t="s">
        <v>349</v>
      </c>
      <c r="F225" s="183" t="s">
        <v>229</v>
      </c>
      <c r="G225" s="180"/>
      <c r="H225" s="185"/>
      <c r="I225" s="185"/>
      <c r="J225" s="185"/>
      <c r="K225" s="185"/>
      <c r="L225" s="185"/>
    </row>
    <row r="226" spans="1:12" ht="19.5" customHeight="1" x14ac:dyDescent="0.2">
      <c r="A226" s="181">
        <v>15</v>
      </c>
      <c r="B226" s="181">
        <v>3191</v>
      </c>
      <c r="C226" s="182" t="s">
        <v>411</v>
      </c>
      <c r="D226" s="183" t="s">
        <v>121</v>
      </c>
      <c r="E226" s="183" t="s">
        <v>428</v>
      </c>
      <c r="F226" s="183" t="s">
        <v>906</v>
      </c>
      <c r="G226" s="180"/>
      <c r="H226" s="185"/>
      <c r="I226" s="185"/>
      <c r="J226" s="185"/>
      <c r="K226" s="185"/>
      <c r="L226" s="185"/>
    </row>
    <row r="227" spans="1:12" ht="19.5" customHeight="1" x14ac:dyDescent="0.2">
      <c r="A227" s="181">
        <v>16</v>
      </c>
      <c r="B227" s="181">
        <v>3065</v>
      </c>
      <c r="C227" s="182" t="s">
        <v>351</v>
      </c>
      <c r="D227" s="183" t="s">
        <v>121</v>
      </c>
      <c r="E227" s="183" t="s">
        <v>352</v>
      </c>
      <c r="F227" s="183" t="s">
        <v>103</v>
      </c>
      <c r="G227" s="180"/>
      <c r="H227" s="185"/>
      <c r="I227" s="185"/>
      <c r="J227" s="185"/>
      <c r="K227" s="185"/>
      <c r="L227" s="185"/>
    </row>
    <row r="228" spans="1:12" ht="19.5" customHeight="1" x14ac:dyDescent="0.2">
      <c r="A228" s="181">
        <v>17</v>
      </c>
      <c r="B228" s="181">
        <v>3194</v>
      </c>
      <c r="C228" s="182" t="s">
        <v>433</v>
      </c>
      <c r="D228" s="183" t="s">
        <v>121</v>
      </c>
      <c r="E228" s="183" t="s">
        <v>434</v>
      </c>
      <c r="F228" s="183" t="s">
        <v>103</v>
      </c>
      <c r="G228" s="180"/>
      <c r="H228" s="185"/>
      <c r="I228" s="185"/>
      <c r="J228" s="185"/>
      <c r="K228" s="185"/>
      <c r="L228" s="185"/>
    </row>
    <row r="229" spans="1:12" ht="19.5" customHeight="1" x14ac:dyDescent="0.2">
      <c r="A229" s="181">
        <v>18</v>
      </c>
      <c r="B229" s="181">
        <v>3073</v>
      </c>
      <c r="C229" s="182">
        <v>1571500140884</v>
      </c>
      <c r="D229" s="183" t="s">
        <v>121</v>
      </c>
      <c r="E229" s="183" t="s">
        <v>389</v>
      </c>
      <c r="F229" s="183" t="s">
        <v>290</v>
      </c>
      <c r="G229" s="180"/>
      <c r="H229" s="185"/>
      <c r="I229" s="185"/>
      <c r="J229" s="185"/>
      <c r="K229" s="185"/>
      <c r="L229" s="185"/>
    </row>
    <row r="230" spans="1:12" ht="19.5" customHeight="1" x14ac:dyDescent="0.2">
      <c r="A230" s="181">
        <v>19</v>
      </c>
      <c r="B230" s="181">
        <v>3075</v>
      </c>
      <c r="C230" s="182">
        <v>571500023863</v>
      </c>
      <c r="D230" s="183" t="s">
        <v>121</v>
      </c>
      <c r="E230" s="183" t="s">
        <v>390</v>
      </c>
      <c r="F230" s="183" t="s">
        <v>103</v>
      </c>
      <c r="G230" s="180"/>
      <c r="H230" s="185"/>
      <c r="I230" s="185"/>
      <c r="J230" s="185"/>
      <c r="K230" s="185"/>
      <c r="L230" s="185"/>
    </row>
    <row r="231" spans="1:12" ht="19.5" customHeight="1" x14ac:dyDescent="0.2">
      <c r="A231" s="181">
        <v>20</v>
      </c>
      <c r="B231" s="181">
        <v>3197</v>
      </c>
      <c r="C231" s="191" t="s">
        <v>440</v>
      </c>
      <c r="D231" s="192" t="s">
        <v>121</v>
      </c>
      <c r="E231" s="193" t="s">
        <v>441</v>
      </c>
      <c r="F231" s="193" t="s">
        <v>158</v>
      </c>
      <c r="G231" s="184"/>
      <c r="H231" s="185"/>
      <c r="I231" s="185"/>
      <c r="J231" s="185"/>
      <c r="K231" s="185"/>
      <c r="L231" s="185"/>
    </row>
    <row r="232" spans="1:12" ht="19.5" customHeight="1" x14ac:dyDescent="0.2">
      <c r="A232" s="181">
        <v>21</v>
      </c>
      <c r="B232" s="181">
        <v>3076</v>
      </c>
      <c r="C232" s="182">
        <v>571500005831</v>
      </c>
      <c r="D232" s="183" t="s">
        <v>121</v>
      </c>
      <c r="E232" s="183" t="s">
        <v>391</v>
      </c>
      <c r="F232" s="183" t="s">
        <v>103</v>
      </c>
      <c r="G232" s="180"/>
      <c r="H232" s="185"/>
      <c r="I232" s="185"/>
      <c r="J232" s="185"/>
      <c r="K232" s="185"/>
      <c r="L232" s="185"/>
    </row>
    <row r="233" spans="1:12" ht="19.5" customHeight="1" x14ac:dyDescent="0.2">
      <c r="A233" s="181">
        <v>22</v>
      </c>
      <c r="B233" s="181">
        <v>3176</v>
      </c>
      <c r="C233" s="182" t="s">
        <v>360</v>
      </c>
      <c r="D233" s="183" t="s">
        <v>121</v>
      </c>
      <c r="E233" s="183" t="s">
        <v>361</v>
      </c>
      <c r="F233" s="183" t="s">
        <v>362</v>
      </c>
      <c r="G233" s="180"/>
      <c r="H233" s="185"/>
      <c r="I233" s="185"/>
      <c r="J233" s="185"/>
      <c r="K233" s="185"/>
      <c r="L233" s="185"/>
    </row>
    <row r="234" spans="1:12" ht="19.5" customHeight="1" x14ac:dyDescent="0.2">
      <c r="A234" s="181">
        <v>23</v>
      </c>
      <c r="B234" s="181">
        <v>3087</v>
      </c>
      <c r="C234" s="182" t="s">
        <v>397</v>
      </c>
      <c r="D234" s="183" t="s">
        <v>121</v>
      </c>
      <c r="E234" s="183" t="s">
        <v>398</v>
      </c>
      <c r="F234" s="183" t="s">
        <v>103</v>
      </c>
      <c r="G234" s="184"/>
      <c r="H234" s="185"/>
      <c r="I234" s="185"/>
      <c r="J234" s="185"/>
      <c r="K234" s="185"/>
      <c r="L234" s="185"/>
    </row>
    <row r="235" spans="1:12" ht="19.5" customHeight="1" x14ac:dyDescent="0.2">
      <c r="A235" s="181"/>
      <c r="B235" s="181"/>
      <c r="C235" s="182"/>
      <c r="D235" s="183"/>
      <c r="E235" s="183"/>
      <c r="F235" s="183"/>
      <c r="G235" s="180"/>
      <c r="H235" s="185"/>
      <c r="I235" s="185"/>
      <c r="J235" s="185"/>
      <c r="K235" s="185"/>
      <c r="L235" s="185"/>
    </row>
    <row r="236" spans="1:12" ht="19.5" customHeight="1" x14ac:dyDescent="0.2">
      <c r="A236" s="181"/>
      <c r="B236" s="181"/>
      <c r="C236" s="182"/>
      <c r="D236" s="183"/>
      <c r="E236" s="183"/>
      <c r="F236" s="183"/>
      <c r="G236" s="180"/>
      <c r="H236" s="185"/>
      <c r="I236" s="185"/>
      <c r="J236" s="185"/>
      <c r="K236" s="185"/>
      <c r="L236" s="185"/>
    </row>
    <row r="237" spans="1:12" ht="19.5" customHeight="1" x14ac:dyDescent="0.2">
      <c r="A237" s="181"/>
      <c r="B237" s="181"/>
      <c r="C237" s="182"/>
      <c r="D237" s="183"/>
      <c r="E237" s="183"/>
      <c r="F237" s="183"/>
      <c r="G237" s="180"/>
      <c r="H237" s="185"/>
      <c r="I237" s="185"/>
      <c r="J237" s="185"/>
      <c r="K237" s="185"/>
      <c r="L237" s="185"/>
    </row>
    <row r="238" spans="1:12" ht="19.5" customHeight="1" x14ac:dyDescent="0.2">
      <c r="A238" s="181"/>
      <c r="B238" s="181"/>
      <c r="C238" s="186"/>
      <c r="D238" s="183"/>
      <c r="E238" s="183"/>
      <c r="F238" s="183"/>
      <c r="G238" s="184"/>
      <c r="H238" s="185"/>
      <c r="I238" s="185"/>
      <c r="J238" s="185"/>
      <c r="K238" s="185"/>
      <c r="L238" s="185"/>
    </row>
    <row r="239" spans="1:12" ht="19.5" customHeight="1" x14ac:dyDescent="0.2">
      <c r="A239" s="181"/>
      <c r="B239" s="181"/>
      <c r="C239" s="182"/>
      <c r="D239" s="183"/>
      <c r="E239" s="183"/>
      <c r="F239" s="183"/>
      <c r="G239" s="184"/>
      <c r="H239" s="185"/>
      <c r="I239" s="185"/>
      <c r="J239" s="185"/>
      <c r="K239" s="185"/>
      <c r="L239" s="185"/>
    </row>
    <row r="240" spans="1:12" ht="19.5" customHeight="1" x14ac:dyDescent="0.2">
      <c r="A240" s="181"/>
      <c r="B240" s="194"/>
      <c r="C240" s="195"/>
      <c r="D240" s="196"/>
      <c r="E240" s="193"/>
      <c r="F240" s="193"/>
      <c r="G240" s="185"/>
      <c r="H240" s="185"/>
      <c r="I240" s="185"/>
      <c r="J240" s="185"/>
      <c r="K240" s="185"/>
      <c r="L240" s="185"/>
    </row>
    <row r="241" spans="1:12" ht="19.5" customHeight="1" x14ac:dyDescent="0.2">
      <c r="A241" s="181"/>
      <c r="B241" s="178"/>
      <c r="C241" s="179"/>
      <c r="D241" s="188"/>
      <c r="E241" s="185"/>
      <c r="F241" s="185"/>
      <c r="G241" s="185"/>
      <c r="H241" s="185"/>
      <c r="I241" s="185"/>
      <c r="J241" s="185"/>
      <c r="K241" s="185"/>
      <c r="L241" s="185"/>
    </row>
    <row r="242" spans="1:12" ht="19.5" customHeight="1" x14ac:dyDescent="0.2">
      <c r="A242" s="181"/>
      <c r="B242" s="178"/>
      <c r="C242" s="179"/>
      <c r="D242" s="188"/>
      <c r="E242" s="185"/>
      <c r="F242" s="185"/>
      <c r="G242" s="185"/>
      <c r="H242" s="185"/>
      <c r="I242" s="185"/>
      <c r="J242" s="185"/>
      <c r="K242" s="185"/>
      <c r="L242" s="185"/>
    </row>
    <row r="243" spans="1:12" ht="19.5" customHeight="1" x14ac:dyDescent="0.2">
      <c r="A243" s="181"/>
      <c r="B243" s="178"/>
      <c r="C243" s="179"/>
      <c r="D243" s="188"/>
      <c r="E243" s="185"/>
      <c r="F243" s="185"/>
      <c r="G243" s="185"/>
      <c r="H243" s="185"/>
      <c r="I243" s="185"/>
      <c r="J243" s="185"/>
      <c r="K243" s="185"/>
      <c r="L243" s="185"/>
    </row>
    <row r="244" spans="1:12" ht="19.5" customHeight="1" x14ac:dyDescent="0.2">
      <c r="A244" s="181"/>
      <c r="B244" s="178"/>
      <c r="C244" s="179" t="s">
        <v>1066</v>
      </c>
      <c r="D244" s="188">
        <f>COUNTIF(D212:D238,"เด็กชาย")</f>
        <v>12</v>
      </c>
      <c r="E244" s="185"/>
      <c r="F244" s="185"/>
      <c r="G244" s="185"/>
      <c r="H244" s="185"/>
      <c r="I244" s="185"/>
      <c r="J244" s="185"/>
      <c r="K244" s="185"/>
      <c r="L244" s="185"/>
    </row>
    <row r="245" spans="1:12" ht="19.5" customHeight="1" x14ac:dyDescent="0.2">
      <c r="A245" s="178"/>
      <c r="B245" s="178"/>
      <c r="C245" s="179" t="s">
        <v>1067</v>
      </c>
      <c r="D245" s="188">
        <f>COUNTIF(D212:D238,"เด็กหญิง")</f>
        <v>11</v>
      </c>
      <c r="E245" s="197"/>
      <c r="F245" s="197"/>
      <c r="G245" s="178"/>
      <c r="H245" s="185"/>
      <c r="I245" s="178"/>
      <c r="J245" s="185"/>
      <c r="K245" s="178"/>
      <c r="L245" s="185"/>
    </row>
    <row r="246" spans="1:12" ht="19.5" customHeight="1" x14ac:dyDescent="0.2">
      <c r="A246" s="178"/>
      <c r="B246" s="178"/>
      <c r="C246" s="179" t="s">
        <v>38</v>
      </c>
      <c r="D246" s="188">
        <f>SUM(D244:D245)</f>
        <v>23</v>
      </c>
      <c r="E246" s="197"/>
      <c r="F246" s="178"/>
      <c r="G246" s="185"/>
      <c r="H246" s="178"/>
      <c r="I246" s="185"/>
      <c r="J246" s="178"/>
      <c r="K246" s="185"/>
      <c r="L246" s="198" t="str">
        <f>L205</f>
        <v>วันที่ 21 พ.ค. 2569</v>
      </c>
    </row>
    <row r="247" spans="1:12" ht="19.5" customHeight="1" x14ac:dyDescent="0.2">
      <c r="A247" s="263" t="s">
        <v>890</v>
      </c>
      <c r="B247" s="264"/>
      <c r="C247" s="264"/>
      <c r="D247" s="264"/>
      <c r="E247" s="264"/>
      <c r="F247" s="264"/>
      <c r="G247" s="264"/>
      <c r="H247" s="264"/>
      <c r="I247" s="264"/>
      <c r="J247" s="264"/>
      <c r="K247" s="264"/>
      <c r="L247" s="264"/>
    </row>
    <row r="248" spans="1:12" ht="19.5" customHeight="1" x14ac:dyDescent="0.2">
      <c r="A248" s="269" t="str">
        <f>A207</f>
        <v>ร่าง-รายชื่อนักเรียนปีการศึกษา 1/2569</v>
      </c>
      <c r="B248" s="269"/>
      <c r="C248" s="269"/>
      <c r="D248" s="269"/>
      <c r="E248" s="269"/>
      <c r="F248" s="269"/>
      <c r="G248" s="269"/>
      <c r="H248" s="269"/>
      <c r="I248" s="269"/>
      <c r="J248" s="269"/>
      <c r="K248" s="269"/>
      <c r="L248" s="269"/>
    </row>
    <row r="249" spans="1:12" ht="19.5" customHeight="1" x14ac:dyDescent="0.2">
      <c r="A249" s="173"/>
      <c r="B249" s="173"/>
      <c r="C249" s="173"/>
      <c r="D249" s="173"/>
      <c r="E249" s="173"/>
      <c r="F249" s="173"/>
      <c r="G249" s="173"/>
      <c r="H249" s="173"/>
      <c r="I249" s="173"/>
      <c r="J249" s="173"/>
      <c r="K249" s="173"/>
      <c r="L249" s="173"/>
    </row>
    <row r="250" spans="1:12" ht="19.5" customHeight="1" x14ac:dyDescent="0.2">
      <c r="A250" s="267" t="s">
        <v>903</v>
      </c>
      <c r="B250" s="267"/>
      <c r="C250" s="267"/>
      <c r="D250" s="268" t="s">
        <v>1017</v>
      </c>
      <c r="E250" s="268"/>
      <c r="F250" s="268"/>
      <c r="G250" s="268"/>
      <c r="H250" s="268"/>
      <c r="I250" s="268"/>
      <c r="J250" s="268"/>
      <c r="K250" s="268"/>
      <c r="L250" s="268"/>
    </row>
    <row r="251" spans="1:12" ht="19.5" customHeight="1" x14ac:dyDescent="0.2">
      <c r="A251" s="175"/>
      <c r="B251" s="175"/>
      <c r="C251" s="176"/>
      <c r="D251" s="174"/>
      <c r="E251" s="174"/>
      <c r="F251" s="177"/>
      <c r="G251" s="175"/>
      <c r="H251" s="175"/>
      <c r="I251" s="175"/>
      <c r="J251" s="175"/>
      <c r="K251" s="175"/>
      <c r="L251" s="175"/>
    </row>
    <row r="252" spans="1:12" ht="19.5" customHeight="1" x14ac:dyDescent="0.2">
      <c r="A252" s="178" t="s">
        <v>43</v>
      </c>
      <c r="B252" s="178" t="s">
        <v>44</v>
      </c>
      <c r="C252" s="179" t="s">
        <v>45</v>
      </c>
      <c r="D252" s="265" t="s">
        <v>892</v>
      </c>
      <c r="E252" s="266"/>
      <c r="F252" s="266"/>
      <c r="G252" s="180"/>
      <c r="H252" s="180"/>
      <c r="I252" s="180"/>
      <c r="J252" s="180"/>
      <c r="K252" s="180"/>
      <c r="L252" s="180"/>
    </row>
    <row r="253" spans="1:12" ht="19.5" customHeight="1" x14ac:dyDescent="0.2">
      <c r="A253" s="181">
        <v>1</v>
      </c>
      <c r="B253" s="181">
        <v>3024</v>
      </c>
      <c r="C253" s="182" t="s">
        <v>445</v>
      </c>
      <c r="D253" s="183" t="s">
        <v>101</v>
      </c>
      <c r="E253" s="183" t="s">
        <v>446</v>
      </c>
      <c r="F253" s="183" t="s">
        <v>103</v>
      </c>
      <c r="G253" s="184"/>
      <c r="H253" s="185"/>
      <c r="I253" s="185"/>
      <c r="J253" s="185"/>
      <c r="K253" s="185"/>
      <c r="L253" s="185"/>
    </row>
    <row r="254" spans="1:12" ht="19.5" customHeight="1" x14ac:dyDescent="0.2">
      <c r="A254" s="181">
        <v>2</v>
      </c>
      <c r="B254" s="181">
        <v>2960</v>
      </c>
      <c r="C254" s="182">
        <v>571000002867</v>
      </c>
      <c r="D254" s="183" t="s">
        <v>101</v>
      </c>
      <c r="E254" s="183" t="s">
        <v>447</v>
      </c>
      <c r="F254" s="183" t="s">
        <v>448</v>
      </c>
      <c r="G254" s="180"/>
      <c r="H254" s="185"/>
      <c r="I254" s="185"/>
      <c r="J254" s="185"/>
      <c r="K254" s="185"/>
      <c r="L254" s="185"/>
    </row>
    <row r="255" spans="1:12" ht="19.5" customHeight="1" x14ac:dyDescent="0.2">
      <c r="A255" s="181">
        <v>3</v>
      </c>
      <c r="B255" s="181">
        <v>2961</v>
      </c>
      <c r="C255" s="182">
        <v>1571500141660</v>
      </c>
      <c r="D255" s="183" t="s">
        <v>101</v>
      </c>
      <c r="E255" s="183" t="s">
        <v>449</v>
      </c>
      <c r="F255" s="183" t="s">
        <v>128</v>
      </c>
      <c r="G255" s="180"/>
      <c r="H255" s="185"/>
      <c r="I255" s="185"/>
      <c r="J255" s="185"/>
      <c r="K255" s="185"/>
      <c r="L255" s="185"/>
    </row>
    <row r="256" spans="1:12" ht="19.5" customHeight="1" x14ac:dyDescent="0.2">
      <c r="A256" s="181">
        <v>4</v>
      </c>
      <c r="B256" s="181">
        <v>2963</v>
      </c>
      <c r="C256" s="186">
        <v>1579901898181</v>
      </c>
      <c r="D256" s="183" t="s">
        <v>101</v>
      </c>
      <c r="E256" s="183" t="s">
        <v>450</v>
      </c>
      <c r="F256" s="183" t="s">
        <v>171</v>
      </c>
      <c r="G256" s="180"/>
      <c r="H256" s="185"/>
      <c r="I256" s="185"/>
      <c r="J256" s="185"/>
      <c r="K256" s="185"/>
      <c r="L256" s="185"/>
    </row>
    <row r="257" spans="1:12" ht="19.5" customHeight="1" x14ac:dyDescent="0.2">
      <c r="A257" s="181">
        <v>5</v>
      </c>
      <c r="B257" s="181">
        <v>2964</v>
      </c>
      <c r="C257" s="182" t="s">
        <v>451</v>
      </c>
      <c r="D257" s="183" t="s">
        <v>101</v>
      </c>
      <c r="E257" s="183" t="s">
        <v>410</v>
      </c>
      <c r="F257" s="183" t="s">
        <v>103</v>
      </c>
      <c r="G257" s="180"/>
      <c r="H257" s="185"/>
      <c r="I257" s="185"/>
      <c r="J257" s="185"/>
      <c r="K257" s="185"/>
      <c r="L257" s="185"/>
    </row>
    <row r="258" spans="1:12" ht="19.5" customHeight="1" x14ac:dyDescent="0.2">
      <c r="A258" s="181">
        <v>6</v>
      </c>
      <c r="B258" s="181">
        <v>2965</v>
      </c>
      <c r="C258" s="182">
        <v>1103800094646</v>
      </c>
      <c r="D258" s="183" t="s">
        <v>101</v>
      </c>
      <c r="E258" s="183" t="s">
        <v>452</v>
      </c>
      <c r="F258" s="183" t="s">
        <v>453</v>
      </c>
      <c r="G258" s="180"/>
      <c r="H258" s="185"/>
      <c r="I258" s="185"/>
      <c r="J258" s="185"/>
      <c r="K258" s="185"/>
      <c r="L258" s="185"/>
    </row>
    <row r="259" spans="1:12" ht="19.5" customHeight="1" x14ac:dyDescent="0.2">
      <c r="A259" s="181">
        <v>7</v>
      </c>
      <c r="B259" s="181">
        <v>2968</v>
      </c>
      <c r="C259" s="186">
        <v>1571500143174</v>
      </c>
      <c r="D259" s="183" t="s">
        <v>101</v>
      </c>
      <c r="E259" s="183" t="s">
        <v>454</v>
      </c>
      <c r="F259" s="183" t="s">
        <v>455</v>
      </c>
      <c r="G259" s="180"/>
      <c r="H259" s="185"/>
      <c r="I259" s="185"/>
      <c r="J259" s="185"/>
      <c r="K259" s="185"/>
      <c r="L259" s="185"/>
    </row>
    <row r="260" spans="1:12" ht="19.5" customHeight="1" x14ac:dyDescent="0.2">
      <c r="A260" s="181">
        <v>8</v>
      </c>
      <c r="B260" s="181">
        <v>3163</v>
      </c>
      <c r="C260" s="187">
        <v>1571500140795</v>
      </c>
      <c r="D260" s="188" t="s">
        <v>101</v>
      </c>
      <c r="E260" s="185" t="s">
        <v>456</v>
      </c>
      <c r="F260" s="185" t="s">
        <v>103</v>
      </c>
      <c r="G260" s="180"/>
      <c r="H260" s="185"/>
      <c r="I260" s="185"/>
      <c r="J260" s="185"/>
      <c r="K260" s="185"/>
      <c r="L260" s="185"/>
    </row>
    <row r="261" spans="1:12" ht="19.5" customHeight="1" x14ac:dyDescent="0.2">
      <c r="A261" s="181">
        <v>9</v>
      </c>
      <c r="B261" s="181">
        <v>2972</v>
      </c>
      <c r="C261" s="186" t="s">
        <v>457</v>
      </c>
      <c r="D261" s="183" t="s">
        <v>101</v>
      </c>
      <c r="E261" s="183" t="s">
        <v>458</v>
      </c>
      <c r="F261" s="183" t="s">
        <v>103</v>
      </c>
      <c r="G261" s="180"/>
      <c r="H261" s="185"/>
      <c r="I261" s="185"/>
      <c r="J261" s="185"/>
      <c r="K261" s="185"/>
      <c r="L261" s="185"/>
    </row>
    <row r="262" spans="1:12" ht="19.5" customHeight="1" x14ac:dyDescent="0.2">
      <c r="A262" s="181">
        <v>10</v>
      </c>
      <c r="B262" s="181">
        <v>2973</v>
      </c>
      <c r="C262" s="182">
        <v>1571500141708</v>
      </c>
      <c r="D262" s="183" t="s">
        <v>101</v>
      </c>
      <c r="E262" s="183" t="s">
        <v>459</v>
      </c>
      <c r="F262" s="183" t="s">
        <v>460</v>
      </c>
      <c r="G262" s="180"/>
      <c r="H262" s="185"/>
      <c r="I262" s="185"/>
      <c r="J262" s="185"/>
      <c r="K262" s="185"/>
      <c r="L262" s="185"/>
    </row>
    <row r="263" spans="1:12" ht="19.5" customHeight="1" x14ac:dyDescent="0.2">
      <c r="A263" s="181">
        <v>11</v>
      </c>
      <c r="B263" s="181">
        <v>2979</v>
      </c>
      <c r="C263" s="182">
        <v>1571500141414</v>
      </c>
      <c r="D263" s="183" t="s">
        <v>121</v>
      </c>
      <c r="E263" s="183" t="s">
        <v>461</v>
      </c>
      <c r="F263" s="183" t="s">
        <v>462</v>
      </c>
      <c r="G263" s="180"/>
      <c r="H263" s="185"/>
      <c r="I263" s="185"/>
      <c r="J263" s="185"/>
      <c r="K263" s="185"/>
      <c r="L263" s="185"/>
    </row>
    <row r="264" spans="1:12" ht="19.5" customHeight="1" x14ac:dyDescent="0.2">
      <c r="A264" s="181">
        <v>12</v>
      </c>
      <c r="B264" s="181">
        <v>2980</v>
      </c>
      <c r="C264" s="182">
        <v>1579901901239</v>
      </c>
      <c r="D264" s="183" t="s">
        <v>121</v>
      </c>
      <c r="E264" s="183" t="s">
        <v>463</v>
      </c>
      <c r="F264" s="183" t="s">
        <v>464</v>
      </c>
      <c r="G264" s="180"/>
      <c r="H264" s="185"/>
      <c r="I264" s="185"/>
      <c r="J264" s="185"/>
      <c r="K264" s="185"/>
      <c r="L264" s="185"/>
    </row>
    <row r="265" spans="1:12" ht="19.5" customHeight="1" x14ac:dyDescent="0.2">
      <c r="A265" s="181">
        <v>13</v>
      </c>
      <c r="B265" s="181">
        <v>2981</v>
      </c>
      <c r="C265" s="182">
        <v>1579901847196</v>
      </c>
      <c r="D265" s="183" t="s">
        <v>121</v>
      </c>
      <c r="E265" s="183" t="s">
        <v>465</v>
      </c>
      <c r="F265" s="183" t="s">
        <v>466</v>
      </c>
      <c r="G265" s="180"/>
      <c r="H265" s="185"/>
      <c r="I265" s="185"/>
      <c r="J265" s="185"/>
      <c r="K265" s="185"/>
      <c r="L265" s="185"/>
    </row>
    <row r="266" spans="1:12" ht="19.5" customHeight="1" x14ac:dyDescent="0.2">
      <c r="A266" s="181">
        <v>14</v>
      </c>
      <c r="B266" s="181">
        <v>2982</v>
      </c>
      <c r="C266" s="182">
        <v>1579901879870</v>
      </c>
      <c r="D266" s="183" t="s">
        <v>121</v>
      </c>
      <c r="E266" s="183" t="s">
        <v>467</v>
      </c>
      <c r="F266" s="183" t="s">
        <v>468</v>
      </c>
      <c r="G266" s="180"/>
      <c r="H266" s="185"/>
      <c r="I266" s="185"/>
      <c r="J266" s="185"/>
      <c r="K266" s="185"/>
      <c r="L266" s="185"/>
    </row>
    <row r="267" spans="1:12" ht="19.5" customHeight="1" x14ac:dyDescent="0.2">
      <c r="A267" s="181">
        <v>15</v>
      </c>
      <c r="B267" s="181">
        <v>2983</v>
      </c>
      <c r="C267" s="182">
        <v>1579901846092</v>
      </c>
      <c r="D267" s="183" t="s">
        <v>121</v>
      </c>
      <c r="E267" s="183" t="s">
        <v>469</v>
      </c>
      <c r="F267" s="183" t="s">
        <v>362</v>
      </c>
      <c r="G267" s="180"/>
      <c r="H267" s="185"/>
      <c r="I267" s="185"/>
      <c r="J267" s="185"/>
      <c r="K267" s="185"/>
      <c r="L267" s="185"/>
    </row>
    <row r="268" spans="1:12" ht="19.5" customHeight="1" x14ac:dyDescent="0.2">
      <c r="A268" s="181">
        <v>16</v>
      </c>
      <c r="B268" s="181">
        <v>2984</v>
      </c>
      <c r="C268" s="182">
        <v>1571500142755</v>
      </c>
      <c r="D268" s="183" t="s">
        <v>121</v>
      </c>
      <c r="E268" s="183" t="s">
        <v>470</v>
      </c>
      <c r="F268" s="183" t="s">
        <v>471</v>
      </c>
      <c r="G268" s="180"/>
      <c r="H268" s="185"/>
      <c r="I268" s="185"/>
      <c r="J268" s="185"/>
      <c r="K268" s="185"/>
      <c r="L268" s="185"/>
    </row>
    <row r="269" spans="1:12" ht="19.5" customHeight="1" x14ac:dyDescent="0.2">
      <c r="A269" s="181">
        <v>17</v>
      </c>
      <c r="B269" s="181">
        <v>2985</v>
      </c>
      <c r="C269" s="182">
        <v>7579900101955</v>
      </c>
      <c r="D269" s="183" t="s">
        <v>121</v>
      </c>
      <c r="E269" s="183" t="s">
        <v>472</v>
      </c>
      <c r="F269" s="183" t="s">
        <v>103</v>
      </c>
      <c r="G269" s="180"/>
      <c r="H269" s="185"/>
      <c r="I269" s="185"/>
      <c r="J269" s="185"/>
      <c r="K269" s="185"/>
      <c r="L269" s="185"/>
    </row>
    <row r="270" spans="1:12" ht="19.5" customHeight="1" x14ac:dyDescent="0.2">
      <c r="A270" s="181">
        <v>18</v>
      </c>
      <c r="B270" s="181">
        <v>2986</v>
      </c>
      <c r="C270" s="182">
        <v>571500004869</v>
      </c>
      <c r="D270" s="183" t="s">
        <v>121</v>
      </c>
      <c r="E270" s="183" t="s">
        <v>473</v>
      </c>
      <c r="F270" s="183" t="s">
        <v>103</v>
      </c>
      <c r="G270" s="180"/>
      <c r="H270" s="185"/>
      <c r="I270" s="185"/>
      <c r="J270" s="185"/>
      <c r="K270" s="185"/>
      <c r="L270" s="185"/>
    </row>
    <row r="271" spans="1:12" ht="19.5" customHeight="1" x14ac:dyDescent="0.2">
      <c r="A271" s="181">
        <v>19</v>
      </c>
      <c r="B271" s="181">
        <v>2987</v>
      </c>
      <c r="C271" s="182">
        <v>1571500142321</v>
      </c>
      <c r="D271" s="183" t="s">
        <v>121</v>
      </c>
      <c r="E271" s="183" t="s">
        <v>474</v>
      </c>
      <c r="F271" s="183" t="s">
        <v>362</v>
      </c>
      <c r="G271" s="180"/>
      <c r="H271" s="185"/>
      <c r="I271" s="185"/>
      <c r="J271" s="185"/>
      <c r="K271" s="185"/>
      <c r="L271" s="185"/>
    </row>
    <row r="272" spans="1:12" ht="19.5" customHeight="1" x14ac:dyDescent="0.2">
      <c r="A272" s="181">
        <v>20</v>
      </c>
      <c r="B272" s="181">
        <v>3067</v>
      </c>
      <c r="C272" s="191" t="s">
        <v>475</v>
      </c>
      <c r="D272" s="192" t="s">
        <v>121</v>
      </c>
      <c r="E272" s="193" t="s">
        <v>476</v>
      </c>
      <c r="F272" s="193" t="s">
        <v>103</v>
      </c>
      <c r="G272" s="184"/>
      <c r="H272" s="185"/>
      <c r="I272" s="185"/>
      <c r="J272" s="185"/>
      <c r="K272" s="185"/>
      <c r="L272" s="185"/>
    </row>
    <row r="273" spans="1:12" ht="19.5" customHeight="1" x14ac:dyDescent="0.2">
      <c r="A273" s="181">
        <v>21</v>
      </c>
      <c r="B273" s="181">
        <v>2988</v>
      </c>
      <c r="C273" s="182">
        <v>1579901877737</v>
      </c>
      <c r="D273" s="183" t="s">
        <v>121</v>
      </c>
      <c r="E273" s="183" t="s">
        <v>477</v>
      </c>
      <c r="F273" s="183" t="s">
        <v>118</v>
      </c>
      <c r="G273" s="180"/>
      <c r="H273" s="185"/>
      <c r="I273" s="185"/>
      <c r="J273" s="185"/>
      <c r="K273" s="185"/>
      <c r="L273" s="185"/>
    </row>
    <row r="274" spans="1:12" ht="19.5" customHeight="1" x14ac:dyDescent="0.2">
      <c r="A274" s="181">
        <v>22</v>
      </c>
      <c r="B274" s="181">
        <v>2990</v>
      </c>
      <c r="C274" s="182">
        <v>7579900100355</v>
      </c>
      <c r="D274" s="183" t="s">
        <v>121</v>
      </c>
      <c r="E274" s="183" t="s">
        <v>478</v>
      </c>
      <c r="F274" s="183" t="s">
        <v>178</v>
      </c>
      <c r="G274" s="180"/>
      <c r="H274" s="185"/>
      <c r="I274" s="185"/>
      <c r="J274" s="185"/>
      <c r="K274" s="185"/>
      <c r="L274" s="185"/>
    </row>
    <row r="275" spans="1:12" ht="19.5" customHeight="1" x14ac:dyDescent="0.2">
      <c r="A275" s="181">
        <v>23</v>
      </c>
      <c r="B275" s="178">
        <v>3071</v>
      </c>
      <c r="C275" s="187" t="s">
        <v>479</v>
      </c>
      <c r="D275" s="188" t="s">
        <v>121</v>
      </c>
      <c r="E275" s="185" t="s">
        <v>480</v>
      </c>
      <c r="F275" s="185" t="s">
        <v>103</v>
      </c>
      <c r="G275" s="184"/>
      <c r="H275" s="185"/>
      <c r="I275" s="185"/>
      <c r="J275" s="185"/>
      <c r="K275" s="185"/>
      <c r="L275" s="185"/>
    </row>
    <row r="276" spans="1:12" ht="19.5" customHeight="1" x14ac:dyDescent="0.2">
      <c r="A276" s="181">
        <v>24</v>
      </c>
      <c r="B276" s="181">
        <v>2991</v>
      </c>
      <c r="C276" s="182">
        <v>571500004575</v>
      </c>
      <c r="D276" s="183" t="s">
        <v>121</v>
      </c>
      <c r="E276" s="183" t="s">
        <v>481</v>
      </c>
      <c r="F276" s="183" t="s">
        <v>103</v>
      </c>
      <c r="G276" s="180"/>
      <c r="H276" s="185"/>
      <c r="I276" s="185"/>
      <c r="J276" s="185"/>
      <c r="K276" s="185"/>
      <c r="L276" s="185"/>
    </row>
    <row r="277" spans="1:12" ht="19.5" customHeight="1" x14ac:dyDescent="0.2">
      <c r="A277" s="181">
        <v>25</v>
      </c>
      <c r="B277" s="181">
        <v>2992</v>
      </c>
      <c r="C277" s="182">
        <v>571500004567</v>
      </c>
      <c r="D277" s="183" t="s">
        <v>121</v>
      </c>
      <c r="E277" s="183" t="s">
        <v>131</v>
      </c>
      <c r="F277" s="183" t="s">
        <v>482</v>
      </c>
      <c r="G277" s="180"/>
      <c r="H277" s="185"/>
      <c r="I277" s="185"/>
      <c r="J277" s="185"/>
      <c r="K277" s="185"/>
      <c r="L277" s="185"/>
    </row>
    <row r="278" spans="1:12" ht="19.5" customHeight="1" x14ac:dyDescent="0.2">
      <c r="A278" s="181">
        <v>26</v>
      </c>
      <c r="B278" s="181">
        <v>2993</v>
      </c>
      <c r="C278" s="182">
        <v>1579901857027</v>
      </c>
      <c r="D278" s="183" t="s">
        <v>121</v>
      </c>
      <c r="E278" s="183" t="s">
        <v>483</v>
      </c>
      <c r="F278" s="183" t="s">
        <v>297</v>
      </c>
      <c r="G278" s="180"/>
      <c r="H278" s="185"/>
      <c r="I278" s="185"/>
      <c r="J278" s="185"/>
      <c r="K278" s="185"/>
      <c r="L278" s="185"/>
    </row>
    <row r="279" spans="1:12" ht="19.5" customHeight="1" x14ac:dyDescent="0.2">
      <c r="A279" s="181">
        <v>27</v>
      </c>
      <c r="B279" s="181">
        <v>3085</v>
      </c>
      <c r="C279" s="186" t="s">
        <v>484</v>
      </c>
      <c r="D279" s="183" t="s">
        <v>121</v>
      </c>
      <c r="E279" s="183" t="s">
        <v>485</v>
      </c>
      <c r="F279" s="183" t="s">
        <v>158</v>
      </c>
      <c r="G279" s="184"/>
      <c r="H279" s="185"/>
      <c r="I279" s="185"/>
      <c r="J279" s="185"/>
      <c r="K279" s="185"/>
      <c r="L279" s="185"/>
    </row>
    <row r="280" spans="1:12" ht="19.5" customHeight="1" x14ac:dyDescent="0.2">
      <c r="A280" s="181">
        <v>28</v>
      </c>
      <c r="B280" s="181">
        <v>3086</v>
      </c>
      <c r="C280" s="182" t="s">
        <v>486</v>
      </c>
      <c r="D280" s="183" t="s">
        <v>121</v>
      </c>
      <c r="E280" s="183" t="s">
        <v>487</v>
      </c>
      <c r="F280" s="183" t="s">
        <v>147</v>
      </c>
      <c r="G280" s="184"/>
      <c r="H280" s="185"/>
      <c r="I280" s="185"/>
      <c r="J280" s="185"/>
      <c r="K280" s="185"/>
      <c r="L280" s="185"/>
    </row>
    <row r="281" spans="1:12" ht="19.5" customHeight="1" x14ac:dyDescent="0.2">
      <c r="A281" s="181">
        <v>29</v>
      </c>
      <c r="B281" s="181">
        <v>3002</v>
      </c>
      <c r="C281" s="195">
        <v>1909804375982</v>
      </c>
      <c r="D281" s="196" t="s">
        <v>121</v>
      </c>
      <c r="E281" s="193" t="s">
        <v>488</v>
      </c>
      <c r="F281" s="193" t="s">
        <v>489</v>
      </c>
      <c r="G281" s="185"/>
      <c r="H281" s="185"/>
      <c r="I281" s="185"/>
      <c r="J281" s="185"/>
      <c r="K281" s="185"/>
      <c r="L281" s="185"/>
    </row>
    <row r="282" spans="1:12" ht="19.5" customHeight="1" x14ac:dyDescent="0.2">
      <c r="A282" s="181"/>
      <c r="B282" s="178"/>
      <c r="C282" s="179"/>
      <c r="D282" s="188"/>
      <c r="E282" s="185"/>
      <c r="F282" s="185"/>
      <c r="G282" s="185"/>
      <c r="H282" s="185"/>
      <c r="I282" s="185"/>
      <c r="J282" s="185"/>
      <c r="K282" s="185"/>
      <c r="L282" s="185"/>
    </row>
    <row r="283" spans="1:12" ht="19.5" customHeight="1" x14ac:dyDescent="0.2">
      <c r="A283" s="181"/>
      <c r="B283" s="178"/>
      <c r="C283" s="179"/>
      <c r="D283" s="188"/>
      <c r="E283" s="185"/>
      <c r="F283" s="185"/>
      <c r="G283" s="185"/>
      <c r="H283" s="185"/>
      <c r="I283" s="185"/>
      <c r="J283" s="185"/>
      <c r="K283" s="185"/>
      <c r="L283" s="185"/>
    </row>
    <row r="284" spans="1:12" ht="19.5" customHeight="1" x14ac:dyDescent="0.2">
      <c r="A284" s="181"/>
      <c r="B284" s="178"/>
      <c r="C284" s="179"/>
      <c r="D284" s="188"/>
      <c r="E284" s="185"/>
      <c r="F284" s="185"/>
      <c r="G284" s="185"/>
      <c r="H284" s="185"/>
      <c r="I284" s="185"/>
      <c r="J284" s="185"/>
      <c r="K284" s="185"/>
      <c r="L284" s="185"/>
    </row>
    <row r="285" spans="1:12" ht="19.5" customHeight="1" x14ac:dyDescent="0.2">
      <c r="A285" s="181"/>
      <c r="B285" s="178"/>
      <c r="C285" s="179" t="s">
        <v>1066</v>
      </c>
      <c r="D285" s="188">
        <f>COUNTIF(D253:D281,"เด็กชาย")</f>
        <v>10</v>
      </c>
      <c r="E285" s="185"/>
      <c r="F285" s="185"/>
      <c r="G285" s="185"/>
      <c r="H285" s="185"/>
      <c r="I285" s="185"/>
      <c r="J285" s="185"/>
      <c r="K285" s="185"/>
      <c r="L285" s="185"/>
    </row>
    <row r="286" spans="1:12" ht="19.5" customHeight="1" x14ac:dyDescent="0.2">
      <c r="A286" s="178"/>
      <c r="B286" s="178"/>
      <c r="C286" s="179" t="s">
        <v>1067</v>
      </c>
      <c r="D286" s="188">
        <f>COUNTIF(D253:D281,"เด็กหญิง")</f>
        <v>19</v>
      </c>
      <c r="E286" s="197"/>
      <c r="F286" s="197"/>
      <c r="G286" s="178"/>
      <c r="H286" s="185"/>
      <c r="I286" s="178"/>
      <c r="J286" s="185"/>
      <c r="K286" s="178"/>
      <c r="L286" s="185"/>
    </row>
    <row r="287" spans="1:12" ht="19.5" customHeight="1" x14ac:dyDescent="0.2">
      <c r="A287" s="178"/>
      <c r="B287" s="178"/>
      <c r="C287" s="179" t="s">
        <v>38</v>
      </c>
      <c r="D287" s="188">
        <f>SUM(D285:D286)</f>
        <v>29</v>
      </c>
      <c r="E287" s="197"/>
      <c r="F287" s="178"/>
      <c r="G287" s="185"/>
      <c r="H287" s="178"/>
      <c r="I287" s="185"/>
      <c r="J287" s="178"/>
      <c r="K287" s="185"/>
      <c r="L287" s="198" t="str">
        <f>L246</f>
        <v>วันที่ 21 พ.ค. 2569</v>
      </c>
    </row>
    <row r="288" spans="1:12" ht="19.5" customHeight="1" x14ac:dyDescent="0.2">
      <c r="A288" s="263" t="s">
        <v>890</v>
      </c>
      <c r="B288" s="264"/>
      <c r="C288" s="264"/>
      <c r="D288" s="264"/>
      <c r="E288" s="264"/>
      <c r="F288" s="264"/>
      <c r="G288" s="264"/>
      <c r="H288" s="264"/>
      <c r="I288" s="264"/>
      <c r="J288" s="264"/>
      <c r="K288" s="264"/>
      <c r="L288" s="264"/>
    </row>
    <row r="289" spans="1:12" ht="19.5" customHeight="1" x14ac:dyDescent="0.2">
      <c r="A289" s="269" t="str">
        <f>A248</f>
        <v>ร่าง-รายชื่อนักเรียนปีการศึกษา 1/2569</v>
      </c>
      <c r="B289" s="269"/>
      <c r="C289" s="269"/>
      <c r="D289" s="269"/>
      <c r="E289" s="269"/>
      <c r="F289" s="269"/>
      <c r="G289" s="269"/>
      <c r="H289" s="269"/>
      <c r="I289" s="269"/>
      <c r="J289" s="269"/>
      <c r="K289" s="269"/>
      <c r="L289" s="269"/>
    </row>
    <row r="290" spans="1:12" ht="19.5" customHeight="1" x14ac:dyDescent="0.2">
      <c r="A290" s="173"/>
      <c r="B290" s="173"/>
      <c r="C290" s="173"/>
      <c r="D290" s="173"/>
      <c r="E290" s="173"/>
      <c r="F290" s="173"/>
      <c r="G290" s="173"/>
      <c r="H290" s="173"/>
      <c r="I290" s="173"/>
      <c r="J290" s="173"/>
      <c r="K290" s="173"/>
      <c r="L290" s="173"/>
    </row>
    <row r="291" spans="1:12" ht="19.5" customHeight="1" x14ac:dyDescent="0.2">
      <c r="A291" s="267" t="s">
        <v>907</v>
      </c>
      <c r="B291" s="267"/>
      <c r="C291" s="267"/>
      <c r="D291" s="268" t="s">
        <v>1018</v>
      </c>
      <c r="E291" s="268"/>
      <c r="F291" s="268"/>
      <c r="G291" s="268"/>
      <c r="H291" s="268"/>
      <c r="I291" s="268"/>
      <c r="J291" s="268"/>
      <c r="K291" s="268"/>
      <c r="L291" s="268"/>
    </row>
    <row r="292" spans="1:12" ht="19.5" customHeight="1" x14ac:dyDescent="0.2">
      <c r="A292" s="175"/>
      <c r="B292" s="175"/>
      <c r="C292" s="176"/>
      <c r="D292" s="174"/>
      <c r="E292" s="174"/>
      <c r="F292" s="177"/>
      <c r="G292" s="175"/>
      <c r="H292" s="175"/>
      <c r="I292" s="175"/>
      <c r="J292" s="175"/>
      <c r="K292" s="175"/>
      <c r="L292" s="175"/>
    </row>
    <row r="293" spans="1:12" ht="19.5" customHeight="1" x14ac:dyDescent="0.2">
      <c r="A293" s="178" t="s">
        <v>43</v>
      </c>
      <c r="B293" s="178" t="s">
        <v>44</v>
      </c>
      <c r="C293" s="179" t="s">
        <v>45</v>
      </c>
      <c r="D293" s="265" t="s">
        <v>892</v>
      </c>
      <c r="E293" s="266"/>
      <c r="F293" s="266"/>
      <c r="G293" s="180"/>
      <c r="H293" s="180"/>
      <c r="I293" s="180"/>
      <c r="J293" s="180"/>
      <c r="K293" s="180"/>
      <c r="L293" s="180"/>
    </row>
    <row r="294" spans="1:12" ht="19.5" customHeight="1" x14ac:dyDescent="0.2">
      <c r="A294" s="181">
        <v>1</v>
      </c>
      <c r="B294" s="181">
        <v>2962</v>
      </c>
      <c r="C294" s="182">
        <v>7571500121382</v>
      </c>
      <c r="D294" s="183" t="s">
        <v>101</v>
      </c>
      <c r="E294" s="183" t="s">
        <v>490</v>
      </c>
      <c r="F294" s="183" t="s">
        <v>103</v>
      </c>
      <c r="G294" s="184"/>
      <c r="H294" s="185"/>
      <c r="I294" s="185"/>
      <c r="J294" s="185"/>
      <c r="K294" s="185"/>
      <c r="L294" s="185"/>
    </row>
    <row r="295" spans="1:12" ht="19.5" customHeight="1" x14ac:dyDescent="0.2">
      <c r="A295" s="181">
        <v>2</v>
      </c>
      <c r="B295" s="181">
        <v>2966</v>
      </c>
      <c r="C295" s="182">
        <v>1571500143514</v>
      </c>
      <c r="D295" s="183" t="s">
        <v>101</v>
      </c>
      <c r="E295" s="183" t="s">
        <v>491</v>
      </c>
      <c r="F295" s="183" t="s">
        <v>242</v>
      </c>
      <c r="G295" s="180"/>
      <c r="H295" s="185"/>
      <c r="I295" s="185"/>
      <c r="J295" s="185"/>
      <c r="K295" s="185"/>
      <c r="L295" s="185"/>
    </row>
    <row r="296" spans="1:12" ht="19.5" customHeight="1" x14ac:dyDescent="0.2">
      <c r="A296" s="181">
        <v>3</v>
      </c>
      <c r="B296" s="181">
        <v>2967</v>
      </c>
      <c r="C296" s="182">
        <v>571500004982</v>
      </c>
      <c r="D296" s="183" t="s">
        <v>101</v>
      </c>
      <c r="E296" s="183" t="s">
        <v>492</v>
      </c>
      <c r="F296" s="183" t="s">
        <v>493</v>
      </c>
      <c r="G296" s="180"/>
      <c r="H296" s="185"/>
      <c r="I296" s="185"/>
      <c r="J296" s="185"/>
      <c r="K296" s="185"/>
      <c r="L296" s="185"/>
    </row>
    <row r="297" spans="1:12" ht="19.5" customHeight="1" x14ac:dyDescent="0.2">
      <c r="A297" s="181">
        <v>4</v>
      </c>
      <c r="B297" s="181">
        <v>2969</v>
      </c>
      <c r="C297" s="186" t="s">
        <v>494</v>
      </c>
      <c r="D297" s="183" t="s">
        <v>101</v>
      </c>
      <c r="E297" s="183" t="s">
        <v>252</v>
      </c>
      <c r="F297" s="183" t="s">
        <v>103</v>
      </c>
      <c r="G297" s="180"/>
      <c r="H297" s="185"/>
      <c r="I297" s="185"/>
      <c r="J297" s="185"/>
      <c r="K297" s="185"/>
      <c r="L297" s="185"/>
    </row>
    <row r="298" spans="1:12" ht="19.5" customHeight="1" x14ac:dyDescent="0.2">
      <c r="A298" s="181">
        <v>5</v>
      </c>
      <c r="B298" s="181">
        <v>2974</v>
      </c>
      <c r="C298" s="182">
        <v>571500005008</v>
      </c>
      <c r="D298" s="183" t="s">
        <v>101</v>
      </c>
      <c r="E298" s="183" t="s">
        <v>254</v>
      </c>
      <c r="F298" s="183" t="s">
        <v>495</v>
      </c>
      <c r="G298" s="180"/>
      <c r="H298" s="185"/>
      <c r="I298" s="185"/>
      <c r="J298" s="185"/>
      <c r="K298" s="185"/>
      <c r="L298" s="185"/>
    </row>
    <row r="299" spans="1:12" ht="19.5" customHeight="1" x14ac:dyDescent="0.2">
      <c r="A299" s="181">
        <v>6</v>
      </c>
      <c r="B299" s="181">
        <v>3006</v>
      </c>
      <c r="C299" s="182">
        <v>1571500140540</v>
      </c>
      <c r="D299" s="183" t="s">
        <v>101</v>
      </c>
      <c r="E299" s="183" t="s">
        <v>496</v>
      </c>
      <c r="F299" s="183" t="s">
        <v>497</v>
      </c>
      <c r="G299" s="180"/>
      <c r="H299" s="185"/>
      <c r="I299" s="185"/>
      <c r="J299" s="185"/>
      <c r="K299" s="185"/>
      <c r="L299" s="185"/>
    </row>
    <row r="300" spans="1:12" ht="19.5" customHeight="1" x14ac:dyDescent="0.2">
      <c r="A300" s="181">
        <v>7</v>
      </c>
      <c r="B300" s="181">
        <v>2975</v>
      </c>
      <c r="C300" s="186">
        <v>1571500141821</v>
      </c>
      <c r="D300" s="183" t="s">
        <v>101</v>
      </c>
      <c r="E300" s="183" t="s">
        <v>498</v>
      </c>
      <c r="F300" s="183" t="s">
        <v>151</v>
      </c>
      <c r="G300" s="180"/>
      <c r="H300" s="185"/>
      <c r="I300" s="185"/>
      <c r="J300" s="185"/>
      <c r="K300" s="185"/>
      <c r="L300" s="185"/>
    </row>
    <row r="301" spans="1:12" ht="19.5" customHeight="1" x14ac:dyDescent="0.2">
      <c r="A301" s="181">
        <v>8</v>
      </c>
      <c r="B301" s="181">
        <v>3174</v>
      </c>
      <c r="C301" s="187" t="s">
        <v>499</v>
      </c>
      <c r="D301" s="188" t="s">
        <v>101</v>
      </c>
      <c r="E301" s="185" t="s">
        <v>500</v>
      </c>
      <c r="F301" s="185" t="s">
        <v>103</v>
      </c>
      <c r="G301" s="180"/>
      <c r="H301" s="185"/>
      <c r="I301" s="185"/>
      <c r="J301" s="185"/>
      <c r="K301" s="185"/>
      <c r="L301" s="185"/>
    </row>
    <row r="302" spans="1:12" ht="19.5" customHeight="1" x14ac:dyDescent="0.2">
      <c r="A302" s="181">
        <v>9</v>
      </c>
      <c r="B302" s="181">
        <v>2976</v>
      </c>
      <c r="C302" s="186">
        <v>7571500121030</v>
      </c>
      <c r="D302" s="183" t="s">
        <v>101</v>
      </c>
      <c r="E302" s="183" t="s">
        <v>501</v>
      </c>
      <c r="F302" s="183" t="s">
        <v>103</v>
      </c>
      <c r="G302" s="180"/>
      <c r="H302" s="185"/>
      <c r="I302" s="185"/>
      <c r="J302" s="185"/>
      <c r="K302" s="185"/>
      <c r="L302" s="185"/>
    </row>
    <row r="303" spans="1:12" ht="19.5" customHeight="1" x14ac:dyDescent="0.2">
      <c r="A303" s="181">
        <v>10</v>
      </c>
      <c r="B303" s="181">
        <v>3050</v>
      </c>
      <c r="C303" s="182">
        <v>1571500131541</v>
      </c>
      <c r="D303" s="183" t="s">
        <v>101</v>
      </c>
      <c r="E303" s="183" t="s">
        <v>502</v>
      </c>
      <c r="F303" s="183" t="s">
        <v>193</v>
      </c>
      <c r="G303" s="180"/>
      <c r="H303" s="185"/>
      <c r="I303" s="185"/>
      <c r="J303" s="185"/>
      <c r="K303" s="185"/>
      <c r="L303" s="185"/>
    </row>
    <row r="304" spans="1:12" ht="19.5" customHeight="1" x14ac:dyDescent="0.2">
      <c r="A304" s="181">
        <v>11</v>
      </c>
      <c r="B304" s="181">
        <v>2978</v>
      </c>
      <c r="C304" s="182">
        <v>1571500142372</v>
      </c>
      <c r="D304" s="183" t="s">
        <v>101</v>
      </c>
      <c r="E304" s="183" t="s">
        <v>503</v>
      </c>
      <c r="F304" s="183" t="s">
        <v>153</v>
      </c>
      <c r="G304" s="180"/>
      <c r="H304" s="185"/>
      <c r="I304" s="185"/>
      <c r="J304" s="185"/>
      <c r="K304" s="185"/>
      <c r="L304" s="185"/>
    </row>
    <row r="305" spans="1:12" ht="19.5" customHeight="1" x14ac:dyDescent="0.2">
      <c r="A305" s="181">
        <v>12</v>
      </c>
      <c r="B305" s="181">
        <v>3092</v>
      </c>
      <c r="C305" s="182">
        <v>1579901884512</v>
      </c>
      <c r="D305" s="183" t="s">
        <v>121</v>
      </c>
      <c r="E305" s="183" t="s">
        <v>504</v>
      </c>
      <c r="F305" s="183" t="s">
        <v>505</v>
      </c>
      <c r="G305" s="180"/>
      <c r="H305" s="185"/>
      <c r="I305" s="185"/>
      <c r="J305" s="185"/>
      <c r="K305" s="185"/>
      <c r="L305" s="185"/>
    </row>
    <row r="306" spans="1:12" ht="19.5" customHeight="1" x14ac:dyDescent="0.2">
      <c r="A306" s="181">
        <v>13</v>
      </c>
      <c r="B306" s="181">
        <v>3062</v>
      </c>
      <c r="C306" s="182" t="s">
        <v>506</v>
      </c>
      <c r="D306" s="183" t="s">
        <v>121</v>
      </c>
      <c r="E306" s="183" t="s">
        <v>507</v>
      </c>
      <c r="F306" s="183" t="s">
        <v>103</v>
      </c>
      <c r="G306" s="180"/>
      <c r="H306" s="185"/>
      <c r="I306" s="185"/>
      <c r="J306" s="185"/>
      <c r="K306" s="185"/>
      <c r="L306" s="185"/>
    </row>
    <row r="307" spans="1:12" ht="19.5" customHeight="1" x14ac:dyDescent="0.2">
      <c r="A307" s="181">
        <v>14</v>
      </c>
      <c r="B307" s="181">
        <v>3064</v>
      </c>
      <c r="C307" s="182" t="s">
        <v>508</v>
      </c>
      <c r="D307" s="183" t="s">
        <v>121</v>
      </c>
      <c r="E307" s="183" t="s">
        <v>509</v>
      </c>
      <c r="F307" s="183" t="s">
        <v>103</v>
      </c>
      <c r="G307" s="180"/>
      <c r="H307" s="185"/>
      <c r="I307" s="185"/>
      <c r="J307" s="185"/>
      <c r="K307" s="185"/>
      <c r="L307" s="185"/>
    </row>
    <row r="308" spans="1:12" ht="19.5" customHeight="1" x14ac:dyDescent="0.2">
      <c r="A308" s="181">
        <v>15</v>
      </c>
      <c r="B308" s="181">
        <v>3069</v>
      </c>
      <c r="C308" s="182" t="s">
        <v>510</v>
      </c>
      <c r="D308" s="183" t="s">
        <v>121</v>
      </c>
      <c r="E308" s="183" t="s">
        <v>511</v>
      </c>
      <c r="F308" s="183" t="s">
        <v>512</v>
      </c>
      <c r="G308" s="180"/>
      <c r="H308" s="185"/>
      <c r="I308" s="185"/>
      <c r="J308" s="185"/>
      <c r="K308" s="185"/>
      <c r="L308" s="185"/>
    </row>
    <row r="309" spans="1:12" ht="19.5" customHeight="1" x14ac:dyDescent="0.2">
      <c r="A309" s="181">
        <v>16</v>
      </c>
      <c r="B309" s="181">
        <v>2994</v>
      </c>
      <c r="C309" s="182" t="s">
        <v>513</v>
      </c>
      <c r="D309" s="183" t="s">
        <v>121</v>
      </c>
      <c r="E309" s="183" t="s">
        <v>514</v>
      </c>
      <c r="F309" s="183" t="s">
        <v>164</v>
      </c>
      <c r="G309" s="180"/>
      <c r="H309" s="185"/>
      <c r="I309" s="185"/>
      <c r="J309" s="185"/>
      <c r="K309" s="185"/>
      <c r="L309" s="185"/>
    </row>
    <row r="310" spans="1:12" ht="19.5" customHeight="1" x14ac:dyDescent="0.2">
      <c r="A310" s="181">
        <v>17</v>
      </c>
      <c r="B310" s="181">
        <v>2995</v>
      </c>
      <c r="C310" s="182">
        <v>57151004575</v>
      </c>
      <c r="D310" s="183" t="s">
        <v>121</v>
      </c>
      <c r="E310" s="183" t="s">
        <v>515</v>
      </c>
      <c r="F310" s="183" t="s">
        <v>516</v>
      </c>
      <c r="G310" s="180"/>
      <c r="H310" s="185"/>
      <c r="I310" s="185"/>
      <c r="J310" s="185"/>
      <c r="K310" s="185"/>
      <c r="L310" s="185"/>
    </row>
    <row r="311" spans="1:12" ht="19.5" customHeight="1" x14ac:dyDescent="0.2">
      <c r="A311" s="181">
        <v>18</v>
      </c>
      <c r="B311" s="181">
        <v>2996</v>
      </c>
      <c r="C311" s="182">
        <v>1571500140108</v>
      </c>
      <c r="D311" s="183" t="s">
        <v>121</v>
      </c>
      <c r="E311" s="183" t="s">
        <v>517</v>
      </c>
      <c r="F311" s="183" t="s">
        <v>283</v>
      </c>
      <c r="G311" s="180"/>
      <c r="H311" s="185"/>
      <c r="I311" s="185"/>
      <c r="J311" s="185"/>
      <c r="K311" s="185"/>
      <c r="L311" s="185"/>
    </row>
    <row r="312" spans="1:12" ht="19.5" customHeight="1" x14ac:dyDescent="0.2">
      <c r="A312" s="181">
        <v>19</v>
      </c>
      <c r="B312" s="181">
        <v>2997</v>
      </c>
      <c r="C312" s="182">
        <v>1571500142003</v>
      </c>
      <c r="D312" s="183" t="s">
        <v>121</v>
      </c>
      <c r="E312" s="183" t="s">
        <v>518</v>
      </c>
      <c r="F312" s="183" t="s">
        <v>203</v>
      </c>
      <c r="G312" s="180"/>
      <c r="H312" s="185"/>
      <c r="I312" s="185"/>
      <c r="J312" s="185"/>
      <c r="K312" s="185"/>
      <c r="L312" s="185"/>
    </row>
    <row r="313" spans="1:12" ht="19.5" customHeight="1" x14ac:dyDescent="0.2">
      <c r="A313" s="181">
        <v>20</v>
      </c>
      <c r="B313" s="181">
        <v>3078</v>
      </c>
      <c r="C313" s="191" t="s">
        <v>519</v>
      </c>
      <c r="D313" s="192" t="s">
        <v>121</v>
      </c>
      <c r="E313" s="193" t="s">
        <v>520</v>
      </c>
      <c r="F313" s="193" t="s">
        <v>103</v>
      </c>
      <c r="G313" s="184"/>
      <c r="H313" s="185"/>
      <c r="I313" s="185"/>
      <c r="J313" s="185"/>
      <c r="K313" s="185"/>
      <c r="L313" s="185"/>
    </row>
    <row r="314" spans="1:12" ht="19.5" customHeight="1" x14ac:dyDescent="0.2">
      <c r="A314" s="181">
        <v>21</v>
      </c>
      <c r="B314" s="181">
        <v>2998</v>
      </c>
      <c r="C314" s="182">
        <v>571500004591</v>
      </c>
      <c r="D314" s="183" t="s">
        <v>121</v>
      </c>
      <c r="E314" s="183" t="s">
        <v>521</v>
      </c>
      <c r="F314" s="183" t="s">
        <v>126</v>
      </c>
      <c r="G314" s="180"/>
      <c r="H314" s="185"/>
      <c r="I314" s="185"/>
      <c r="J314" s="185"/>
      <c r="K314" s="185"/>
      <c r="L314" s="185"/>
    </row>
    <row r="315" spans="1:12" ht="19.5" customHeight="1" x14ac:dyDescent="0.2">
      <c r="A315" s="181">
        <v>22</v>
      </c>
      <c r="B315" s="181">
        <v>2999</v>
      </c>
      <c r="C315" s="182">
        <v>7571500121111</v>
      </c>
      <c r="D315" s="183" t="s">
        <v>121</v>
      </c>
      <c r="E315" s="183" t="s">
        <v>522</v>
      </c>
      <c r="F315" s="183" t="s">
        <v>348</v>
      </c>
      <c r="G315" s="180"/>
      <c r="H315" s="185"/>
      <c r="I315" s="185"/>
      <c r="J315" s="185"/>
      <c r="K315" s="185"/>
      <c r="L315" s="185"/>
    </row>
    <row r="316" spans="1:12" ht="19.5" customHeight="1" x14ac:dyDescent="0.2">
      <c r="A316" s="181">
        <v>23</v>
      </c>
      <c r="B316" s="178">
        <v>3000</v>
      </c>
      <c r="C316" s="187">
        <v>1571500140256</v>
      </c>
      <c r="D316" s="188" t="s">
        <v>121</v>
      </c>
      <c r="E316" s="185" t="s">
        <v>523</v>
      </c>
      <c r="F316" s="185" t="s">
        <v>524</v>
      </c>
      <c r="G316" s="184"/>
      <c r="H316" s="185"/>
      <c r="I316" s="185"/>
      <c r="J316" s="185"/>
      <c r="K316" s="185"/>
      <c r="L316" s="185"/>
    </row>
    <row r="317" spans="1:12" ht="19.5" customHeight="1" x14ac:dyDescent="0.2">
      <c r="A317" s="181">
        <v>24</v>
      </c>
      <c r="B317" s="181">
        <v>3001</v>
      </c>
      <c r="C317" s="182">
        <v>7571500121285</v>
      </c>
      <c r="D317" s="183" t="s">
        <v>121</v>
      </c>
      <c r="E317" s="183" t="s">
        <v>525</v>
      </c>
      <c r="F317" s="183" t="s">
        <v>103</v>
      </c>
      <c r="G317" s="180"/>
      <c r="H317" s="185"/>
      <c r="I317" s="185"/>
      <c r="J317" s="185"/>
      <c r="K317" s="185"/>
      <c r="L317" s="185"/>
    </row>
    <row r="318" spans="1:12" ht="19.5" customHeight="1" x14ac:dyDescent="0.2">
      <c r="A318" s="181">
        <v>25</v>
      </c>
      <c r="B318" s="181">
        <v>3084</v>
      </c>
      <c r="C318" s="182" t="s">
        <v>526</v>
      </c>
      <c r="D318" s="183" t="s">
        <v>121</v>
      </c>
      <c r="E318" s="183" t="s">
        <v>527</v>
      </c>
      <c r="F318" s="183" t="s">
        <v>103</v>
      </c>
      <c r="G318" s="180"/>
      <c r="H318" s="185"/>
      <c r="I318" s="185"/>
      <c r="J318" s="185"/>
      <c r="K318" s="185"/>
      <c r="L318" s="185"/>
    </row>
    <row r="319" spans="1:12" ht="19.5" customHeight="1" x14ac:dyDescent="0.2">
      <c r="A319" s="181">
        <v>26</v>
      </c>
      <c r="B319" s="181">
        <v>3003</v>
      </c>
      <c r="C319" s="182">
        <v>1571500140582</v>
      </c>
      <c r="D319" s="183" t="s">
        <v>121</v>
      </c>
      <c r="E319" s="183" t="s">
        <v>528</v>
      </c>
      <c r="F319" s="183" t="s">
        <v>529</v>
      </c>
      <c r="G319" s="180"/>
      <c r="H319" s="185"/>
      <c r="I319" s="185"/>
      <c r="J319" s="185"/>
      <c r="K319" s="185"/>
      <c r="L319" s="185"/>
    </row>
    <row r="320" spans="1:12" ht="19.5" customHeight="1" x14ac:dyDescent="0.2">
      <c r="A320" s="181">
        <v>27</v>
      </c>
      <c r="B320" s="181">
        <v>3018</v>
      </c>
      <c r="C320" s="186" t="s">
        <v>530</v>
      </c>
      <c r="D320" s="183" t="s">
        <v>121</v>
      </c>
      <c r="E320" s="183" t="s">
        <v>531</v>
      </c>
      <c r="F320" s="183" t="s">
        <v>103</v>
      </c>
      <c r="G320" s="184"/>
      <c r="H320" s="185"/>
      <c r="I320" s="185"/>
      <c r="J320" s="185"/>
      <c r="K320" s="185"/>
      <c r="L320" s="185"/>
    </row>
    <row r="321" spans="1:12" ht="19.5" customHeight="1" x14ac:dyDescent="0.2">
      <c r="A321" s="181">
        <v>28</v>
      </c>
      <c r="B321" s="181">
        <v>3005</v>
      </c>
      <c r="C321" s="182" t="s">
        <v>532</v>
      </c>
      <c r="D321" s="183" t="s">
        <v>121</v>
      </c>
      <c r="E321" s="183" t="s">
        <v>533</v>
      </c>
      <c r="F321" s="183" t="s">
        <v>534</v>
      </c>
      <c r="G321" s="184"/>
      <c r="H321" s="185"/>
      <c r="I321" s="185"/>
      <c r="J321" s="185"/>
      <c r="K321" s="185"/>
      <c r="L321" s="185"/>
    </row>
    <row r="322" spans="1:12" ht="19.5" customHeight="1" x14ac:dyDescent="0.2">
      <c r="A322" s="181">
        <v>29</v>
      </c>
      <c r="B322" s="181">
        <v>3252</v>
      </c>
      <c r="C322" s="182">
        <v>1579901869815</v>
      </c>
      <c r="D322" s="183" t="s">
        <v>121</v>
      </c>
      <c r="E322" s="183" t="s">
        <v>122</v>
      </c>
      <c r="F322" s="183" t="s">
        <v>378</v>
      </c>
      <c r="G322" s="180" t="s">
        <v>1048</v>
      </c>
      <c r="H322" s="185"/>
      <c r="I322" s="185"/>
      <c r="J322" s="185"/>
      <c r="K322" s="185"/>
      <c r="L322" s="185"/>
    </row>
    <row r="323" spans="1:12" ht="19.5" customHeight="1" x14ac:dyDescent="0.2">
      <c r="A323" s="181"/>
      <c r="B323" s="178"/>
      <c r="C323" s="179"/>
      <c r="D323" s="188"/>
      <c r="E323" s="185"/>
      <c r="F323" s="185"/>
      <c r="G323" s="185"/>
      <c r="H323" s="185"/>
      <c r="I323" s="185"/>
      <c r="J323" s="185"/>
      <c r="K323" s="185"/>
      <c r="L323" s="185"/>
    </row>
    <row r="324" spans="1:12" ht="19.5" customHeight="1" x14ac:dyDescent="0.2">
      <c r="A324" s="181"/>
      <c r="B324" s="178"/>
      <c r="C324" s="179"/>
      <c r="D324" s="188"/>
      <c r="E324" s="185"/>
      <c r="F324" s="185"/>
      <c r="G324" s="185"/>
      <c r="H324" s="185"/>
      <c r="I324" s="185"/>
      <c r="J324" s="185"/>
      <c r="K324" s="185"/>
      <c r="L324" s="185"/>
    </row>
    <row r="325" spans="1:12" ht="19.5" customHeight="1" x14ac:dyDescent="0.2">
      <c r="A325" s="181"/>
      <c r="B325" s="178"/>
      <c r="C325" s="179"/>
      <c r="D325" s="188"/>
      <c r="E325" s="185"/>
      <c r="F325" s="185"/>
      <c r="G325" s="185"/>
      <c r="H325" s="185"/>
      <c r="I325" s="185"/>
      <c r="J325" s="185"/>
      <c r="K325" s="185"/>
      <c r="L325" s="185"/>
    </row>
    <row r="326" spans="1:12" ht="19.5" customHeight="1" x14ac:dyDescent="0.2">
      <c r="A326" s="181"/>
      <c r="B326" s="178"/>
      <c r="C326" s="179" t="s">
        <v>1066</v>
      </c>
      <c r="D326" s="188">
        <f>COUNTIF(D294:D322,"เด็กชาย")</f>
        <v>11</v>
      </c>
      <c r="E326" s="185"/>
      <c r="F326" s="185"/>
      <c r="G326" s="185"/>
      <c r="H326" s="185"/>
      <c r="I326" s="185"/>
      <c r="J326" s="185"/>
      <c r="K326" s="185"/>
      <c r="L326" s="185"/>
    </row>
    <row r="327" spans="1:12" ht="19.5" customHeight="1" x14ac:dyDescent="0.2">
      <c r="A327" s="178"/>
      <c r="B327" s="178"/>
      <c r="C327" s="179" t="s">
        <v>1067</v>
      </c>
      <c r="D327" s="188">
        <f>COUNTIF(D294:D322,"เด็กหญิง")</f>
        <v>18</v>
      </c>
      <c r="E327" s="197"/>
      <c r="F327" s="197"/>
      <c r="G327" s="178"/>
      <c r="H327" s="185"/>
      <c r="I327" s="178"/>
      <c r="J327" s="185"/>
      <c r="K327" s="178"/>
      <c r="L327" s="185"/>
    </row>
    <row r="328" spans="1:12" ht="19.5" customHeight="1" x14ac:dyDescent="0.2">
      <c r="A328" s="178"/>
      <c r="B328" s="178"/>
      <c r="C328" s="179" t="s">
        <v>38</v>
      </c>
      <c r="D328" s="188">
        <f>SUM(D326:D327)</f>
        <v>29</v>
      </c>
      <c r="E328" s="197"/>
      <c r="F328" s="178"/>
      <c r="G328" s="185"/>
      <c r="H328" s="178"/>
      <c r="I328" s="185"/>
      <c r="J328" s="178"/>
      <c r="K328" s="185"/>
      <c r="L328" s="198" t="str">
        <f>L287</f>
        <v>วันที่ 21 พ.ค. 2569</v>
      </c>
    </row>
    <row r="329" spans="1:12" ht="19.5" customHeight="1" x14ac:dyDescent="0.2">
      <c r="A329" s="263" t="s">
        <v>890</v>
      </c>
      <c r="B329" s="264"/>
      <c r="C329" s="264"/>
      <c r="D329" s="264"/>
      <c r="E329" s="264"/>
      <c r="F329" s="264"/>
      <c r="G329" s="264"/>
      <c r="H329" s="264"/>
      <c r="I329" s="264"/>
      <c r="J329" s="264"/>
      <c r="K329" s="264"/>
      <c r="L329" s="264"/>
    </row>
    <row r="330" spans="1:12" ht="19.5" customHeight="1" x14ac:dyDescent="0.2">
      <c r="A330" s="269" t="str">
        <f>A289</f>
        <v>ร่าง-รายชื่อนักเรียนปีการศึกษา 1/2569</v>
      </c>
      <c r="B330" s="269"/>
      <c r="C330" s="269"/>
      <c r="D330" s="269"/>
      <c r="E330" s="269"/>
      <c r="F330" s="269"/>
      <c r="G330" s="269"/>
      <c r="H330" s="269"/>
      <c r="I330" s="269"/>
      <c r="J330" s="269"/>
      <c r="K330" s="269"/>
      <c r="L330" s="269"/>
    </row>
    <row r="331" spans="1:12" ht="19.5" customHeight="1" x14ac:dyDescent="0.2">
      <c r="A331" s="173"/>
      <c r="B331" s="173"/>
      <c r="C331" s="173"/>
      <c r="D331" s="173"/>
      <c r="E331" s="173"/>
      <c r="F331" s="173"/>
      <c r="G331" s="173"/>
      <c r="H331" s="173"/>
      <c r="I331" s="173"/>
      <c r="J331" s="173"/>
      <c r="K331" s="173"/>
      <c r="L331" s="173"/>
    </row>
    <row r="332" spans="1:12" ht="19.5" customHeight="1" x14ac:dyDescent="0.2">
      <c r="A332" s="267" t="s">
        <v>908</v>
      </c>
      <c r="B332" s="267"/>
      <c r="C332" s="267"/>
      <c r="D332" s="268" t="s">
        <v>1019</v>
      </c>
      <c r="E332" s="268"/>
      <c r="F332" s="268"/>
      <c r="G332" s="268"/>
      <c r="H332" s="268"/>
      <c r="I332" s="268"/>
      <c r="J332" s="268"/>
      <c r="K332" s="268"/>
      <c r="L332" s="268"/>
    </row>
    <row r="333" spans="1:12" ht="19.5" customHeight="1" x14ac:dyDescent="0.2">
      <c r="A333" s="175"/>
      <c r="B333" s="175"/>
      <c r="C333" s="176"/>
      <c r="D333" s="174"/>
      <c r="E333" s="174"/>
      <c r="F333" s="177"/>
      <c r="G333" s="175"/>
      <c r="H333" s="175"/>
      <c r="I333" s="175"/>
      <c r="J333" s="175"/>
      <c r="K333" s="175"/>
      <c r="L333" s="175"/>
    </row>
    <row r="334" spans="1:12" ht="19.5" customHeight="1" x14ac:dyDescent="0.2">
      <c r="A334" s="178" t="s">
        <v>43</v>
      </c>
      <c r="B334" s="178" t="s">
        <v>44</v>
      </c>
      <c r="C334" s="179" t="s">
        <v>45</v>
      </c>
      <c r="D334" s="265" t="s">
        <v>892</v>
      </c>
      <c r="E334" s="266"/>
      <c r="F334" s="266"/>
      <c r="G334" s="180"/>
      <c r="H334" s="180"/>
      <c r="I334" s="180"/>
      <c r="J334" s="180"/>
      <c r="K334" s="180"/>
      <c r="L334" s="180"/>
    </row>
    <row r="335" spans="1:12" ht="19.5" customHeight="1" x14ac:dyDescent="0.2">
      <c r="A335" s="181">
        <v>1</v>
      </c>
      <c r="B335" s="181">
        <v>3007</v>
      </c>
      <c r="C335" s="182" t="s">
        <v>535</v>
      </c>
      <c r="D335" s="183" t="s">
        <v>101</v>
      </c>
      <c r="E335" s="183" t="s">
        <v>536</v>
      </c>
      <c r="F335" s="183" t="s">
        <v>103</v>
      </c>
      <c r="G335" s="184"/>
      <c r="H335" s="185"/>
      <c r="I335" s="185"/>
      <c r="J335" s="185"/>
      <c r="K335" s="185"/>
      <c r="L335" s="185"/>
    </row>
    <row r="336" spans="1:12" ht="19.5" customHeight="1" x14ac:dyDescent="0.2">
      <c r="A336" s="181">
        <v>2</v>
      </c>
      <c r="B336" s="181">
        <v>2893</v>
      </c>
      <c r="C336" s="182">
        <v>1571500138944</v>
      </c>
      <c r="D336" s="183" t="s">
        <v>101</v>
      </c>
      <c r="E336" s="183" t="s">
        <v>537</v>
      </c>
      <c r="F336" s="183" t="s">
        <v>538</v>
      </c>
      <c r="G336" s="180"/>
      <c r="H336" s="185"/>
      <c r="I336" s="185"/>
      <c r="J336" s="185"/>
      <c r="K336" s="185"/>
      <c r="L336" s="185"/>
    </row>
    <row r="337" spans="1:12" ht="19.5" customHeight="1" x14ac:dyDescent="0.2">
      <c r="A337" s="181">
        <v>3</v>
      </c>
      <c r="B337" s="181">
        <v>2895</v>
      </c>
      <c r="C337" s="186">
        <v>571500037783</v>
      </c>
      <c r="D337" s="183" t="s">
        <v>101</v>
      </c>
      <c r="E337" s="183" t="s">
        <v>541</v>
      </c>
      <c r="F337" s="183" t="s">
        <v>103</v>
      </c>
      <c r="G337" s="180"/>
      <c r="H337" s="185"/>
      <c r="I337" s="185"/>
      <c r="J337" s="185"/>
      <c r="K337" s="185"/>
      <c r="L337" s="185"/>
    </row>
    <row r="338" spans="1:12" ht="19.5" customHeight="1" x14ac:dyDescent="0.2">
      <c r="A338" s="181">
        <v>4</v>
      </c>
      <c r="B338" s="181">
        <v>2899</v>
      </c>
      <c r="C338" s="182">
        <v>1579901793177</v>
      </c>
      <c r="D338" s="183" t="s">
        <v>101</v>
      </c>
      <c r="E338" s="183" t="s">
        <v>539</v>
      </c>
      <c r="F338" s="183" t="s">
        <v>540</v>
      </c>
      <c r="G338" s="180"/>
      <c r="H338" s="185"/>
      <c r="I338" s="185"/>
      <c r="J338" s="185"/>
      <c r="K338" s="185"/>
      <c r="L338" s="185"/>
    </row>
    <row r="339" spans="1:12" ht="19.5" customHeight="1" x14ac:dyDescent="0.2">
      <c r="A339" s="181">
        <v>5</v>
      </c>
      <c r="B339" s="181">
        <v>2970</v>
      </c>
      <c r="C339" s="182">
        <v>571500038135</v>
      </c>
      <c r="D339" s="183" t="s">
        <v>101</v>
      </c>
      <c r="E339" s="183" t="s">
        <v>542</v>
      </c>
      <c r="F339" s="183" t="s">
        <v>103</v>
      </c>
      <c r="G339" s="180"/>
      <c r="H339" s="185"/>
      <c r="I339" s="185"/>
      <c r="J339" s="185"/>
      <c r="K339" s="185"/>
      <c r="L339" s="185"/>
    </row>
    <row r="340" spans="1:12" ht="19.5" customHeight="1" x14ac:dyDescent="0.2">
      <c r="A340" s="181">
        <v>6</v>
      </c>
      <c r="B340" s="181">
        <v>2904</v>
      </c>
      <c r="C340" s="182">
        <v>571500004281</v>
      </c>
      <c r="D340" s="183" t="s">
        <v>101</v>
      </c>
      <c r="E340" s="183" t="s">
        <v>543</v>
      </c>
      <c r="F340" s="183" t="s">
        <v>544</v>
      </c>
      <c r="G340" s="180"/>
      <c r="H340" s="185"/>
      <c r="I340" s="185"/>
      <c r="J340" s="185"/>
      <c r="K340" s="185"/>
      <c r="L340" s="185"/>
    </row>
    <row r="341" spans="1:12" ht="19.5" customHeight="1" x14ac:dyDescent="0.2">
      <c r="A341" s="181">
        <v>7</v>
      </c>
      <c r="B341" s="181">
        <v>2971</v>
      </c>
      <c r="C341" s="186" t="s">
        <v>545</v>
      </c>
      <c r="D341" s="183" t="s">
        <v>101</v>
      </c>
      <c r="E341" s="183" t="s">
        <v>546</v>
      </c>
      <c r="F341" s="183" t="s">
        <v>103</v>
      </c>
      <c r="G341" s="180"/>
      <c r="H341" s="185"/>
      <c r="I341" s="185"/>
      <c r="J341" s="185"/>
      <c r="K341" s="185"/>
      <c r="L341" s="185"/>
    </row>
    <row r="342" spans="1:12" ht="19.5" customHeight="1" x14ac:dyDescent="0.2">
      <c r="A342" s="181">
        <v>8</v>
      </c>
      <c r="B342" s="181">
        <v>2908</v>
      </c>
      <c r="C342" s="187">
        <v>1509967203033</v>
      </c>
      <c r="D342" s="188" t="s">
        <v>101</v>
      </c>
      <c r="E342" s="185" t="s">
        <v>547</v>
      </c>
      <c r="F342" s="185" t="s">
        <v>548</v>
      </c>
      <c r="G342" s="180"/>
      <c r="H342" s="185"/>
      <c r="I342" s="185"/>
      <c r="J342" s="185"/>
      <c r="K342" s="185"/>
      <c r="L342" s="185"/>
    </row>
    <row r="343" spans="1:12" ht="19.5" customHeight="1" x14ac:dyDescent="0.2">
      <c r="A343" s="181">
        <v>9</v>
      </c>
      <c r="B343" s="181">
        <v>2910</v>
      </c>
      <c r="C343" s="186">
        <v>1571500139398</v>
      </c>
      <c r="D343" s="183" t="s">
        <v>101</v>
      </c>
      <c r="E343" s="183" t="s">
        <v>549</v>
      </c>
      <c r="F343" s="183" t="s">
        <v>538</v>
      </c>
      <c r="G343" s="180"/>
      <c r="H343" s="185"/>
      <c r="I343" s="185"/>
      <c r="J343" s="185"/>
      <c r="K343" s="185"/>
      <c r="L343" s="185"/>
    </row>
    <row r="344" spans="1:12" ht="19.5" customHeight="1" x14ac:dyDescent="0.2">
      <c r="A344" s="181">
        <v>10</v>
      </c>
      <c r="B344" s="181">
        <v>2912</v>
      </c>
      <c r="C344" s="182">
        <v>571500037945</v>
      </c>
      <c r="D344" s="183" t="s">
        <v>101</v>
      </c>
      <c r="E344" s="183" t="s">
        <v>550</v>
      </c>
      <c r="F344" s="183" t="s">
        <v>103</v>
      </c>
      <c r="G344" s="180"/>
      <c r="H344" s="185"/>
      <c r="I344" s="185"/>
      <c r="J344" s="185"/>
      <c r="K344" s="185"/>
      <c r="L344" s="185"/>
    </row>
    <row r="345" spans="1:12" ht="19.5" customHeight="1" x14ac:dyDescent="0.2">
      <c r="A345" s="181">
        <v>11</v>
      </c>
      <c r="B345" s="181">
        <v>2914</v>
      </c>
      <c r="C345" s="182">
        <v>571500004419</v>
      </c>
      <c r="D345" s="183" t="s">
        <v>101</v>
      </c>
      <c r="E345" s="183" t="s">
        <v>496</v>
      </c>
      <c r="F345" s="183" t="s">
        <v>551</v>
      </c>
      <c r="G345" s="180"/>
      <c r="H345" s="185"/>
      <c r="I345" s="185"/>
      <c r="J345" s="185"/>
      <c r="K345" s="185"/>
      <c r="L345" s="185"/>
    </row>
    <row r="346" spans="1:12" ht="19.5" customHeight="1" x14ac:dyDescent="0.2">
      <c r="A346" s="181">
        <v>12</v>
      </c>
      <c r="B346" s="181">
        <v>2918</v>
      </c>
      <c r="C346" s="182">
        <v>571500004176</v>
      </c>
      <c r="D346" s="183" t="s">
        <v>101</v>
      </c>
      <c r="E346" s="183" t="s">
        <v>552</v>
      </c>
      <c r="F346" s="183" t="s">
        <v>103</v>
      </c>
      <c r="G346" s="180"/>
      <c r="H346" s="185"/>
      <c r="I346" s="185"/>
      <c r="J346" s="185"/>
      <c r="K346" s="185"/>
      <c r="L346" s="185"/>
    </row>
    <row r="347" spans="1:12" ht="19.5" customHeight="1" x14ac:dyDescent="0.2">
      <c r="A347" s="181">
        <v>13</v>
      </c>
      <c r="B347" s="181">
        <v>2921</v>
      </c>
      <c r="C347" s="182">
        <v>1571500139088</v>
      </c>
      <c r="D347" s="183" t="s">
        <v>121</v>
      </c>
      <c r="E347" s="183" t="s">
        <v>553</v>
      </c>
      <c r="F347" s="183" t="s">
        <v>221</v>
      </c>
      <c r="G347" s="180"/>
      <c r="H347" s="185"/>
      <c r="I347" s="185"/>
      <c r="J347" s="185"/>
      <c r="K347" s="185"/>
      <c r="L347" s="185"/>
    </row>
    <row r="348" spans="1:12" ht="19.5" customHeight="1" x14ac:dyDescent="0.2">
      <c r="A348" s="181">
        <v>14</v>
      </c>
      <c r="B348" s="181">
        <v>2923</v>
      </c>
      <c r="C348" s="182" t="s">
        <v>554</v>
      </c>
      <c r="D348" s="183" t="s">
        <v>121</v>
      </c>
      <c r="E348" s="183" t="s">
        <v>555</v>
      </c>
      <c r="F348" s="183" t="s">
        <v>103</v>
      </c>
      <c r="G348" s="180"/>
      <c r="H348" s="185"/>
      <c r="I348" s="185"/>
      <c r="J348" s="185"/>
      <c r="K348" s="185"/>
      <c r="L348" s="185"/>
    </row>
    <row r="349" spans="1:12" ht="19.5" customHeight="1" x14ac:dyDescent="0.2">
      <c r="A349" s="181">
        <v>15</v>
      </c>
      <c r="B349" s="181">
        <v>2925</v>
      </c>
      <c r="C349" s="182">
        <v>571500003960</v>
      </c>
      <c r="D349" s="183" t="s">
        <v>121</v>
      </c>
      <c r="E349" s="183" t="s">
        <v>556</v>
      </c>
      <c r="F349" s="183" t="s">
        <v>557</v>
      </c>
      <c r="G349" s="180"/>
      <c r="H349" s="185"/>
      <c r="I349" s="185"/>
      <c r="J349" s="185"/>
      <c r="K349" s="185"/>
      <c r="L349" s="185"/>
    </row>
    <row r="350" spans="1:12" ht="19.5" customHeight="1" x14ac:dyDescent="0.2">
      <c r="A350" s="181">
        <v>16</v>
      </c>
      <c r="B350" s="181">
        <v>2926</v>
      </c>
      <c r="C350" s="182">
        <v>571500003951</v>
      </c>
      <c r="D350" s="183" t="s">
        <v>121</v>
      </c>
      <c r="E350" s="183" t="s">
        <v>558</v>
      </c>
      <c r="F350" s="183" t="s">
        <v>559</v>
      </c>
      <c r="G350" s="180"/>
      <c r="H350" s="185"/>
      <c r="I350" s="185"/>
      <c r="J350" s="185"/>
      <c r="K350" s="185"/>
      <c r="L350" s="185"/>
    </row>
    <row r="351" spans="1:12" ht="19.5" customHeight="1" x14ac:dyDescent="0.2">
      <c r="A351" s="181">
        <v>17</v>
      </c>
      <c r="B351" s="181">
        <v>2932</v>
      </c>
      <c r="C351" s="182">
        <v>571500037759</v>
      </c>
      <c r="D351" s="183" t="s">
        <v>121</v>
      </c>
      <c r="E351" s="183" t="s">
        <v>233</v>
      </c>
      <c r="F351" s="183" t="s">
        <v>103</v>
      </c>
      <c r="G351" s="180"/>
      <c r="H351" s="185"/>
      <c r="I351" s="185"/>
      <c r="J351" s="185"/>
      <c r="K351" s="185"/>
      <c r="L351" s="185"/>
    </row>
    <row r="352" spans="1:12" ht="19.5" customHeight="1" x14ac:dyDescent="0.2">
      <c r="A352" s="181">
        <v>18</v>
      </c>
      <c r="B352" s="181">
        <v>2934</v>
      </c>
      <c r="C352" s="182">
        <v>571500037937</v>
      </c>
      <c r="D352" s="183" t="s">
        <v>121</v>
      </c>
      <c r="E352" s="183" t="s">
        <v>432</v>
      </c>
      <c r="F352" s="183" t="s">
        <v>103</v>
      </c>
      <c r="G352" s="180"/>
      <c r="H352" s="185"/>
      <c r="I352" s="185"/>
      <c r="J352" s="185"/>
      <c r="K352" s="185"/>
      <c r="L352" s="185"/>
    </row>
    <row r="353" spans="1:12" ht="19.5" customHeight="1" x14ac:dyDescent="0.2">
      <c r="A353" s="181">
        <v>19</v>
      </c>
      <c r="B353" s="181">
        <v>3020</v>
      </c>
      <c r="C353" s="182" t="s">
        <v>560</v>
      </c>
      <c r="D353" s="183" t="s">
        <v>121</v>
      </c>
      <c r="E353" s="183" t="s">
        <v>353</v>
      </c>
      <c r="F353" s="183" t="s">
        <v>561</v>
      </c>
      <c r="G353" s="180"/>
      <c r="H353" s="185"/>
      <c r="I353" s="185"/>
      <c r="J353" s="185"/>
      <c r="K353" s="185"/>
      <c r="L353" s="185"/>
    </row>
    <row r="354" spans="1:12" ht="19.5" customHeight="1" x14ac:dyDescent="0.2">
      <c r="A354" s="181">
        <v>20</v>
      </c>
      <c r="B354" s="181">
        <v>2935</v>
      </c>
      <c r="C354" s="191">
        <v>571500038097</v>
      </c>
      <c r="D354" s="192" t="s">
        <v>121</v>
      </c>
      <c r="E354" s="193" t="s">
        <v>562</v>
      </c>
      <c r="F354" s="193" t="s">
        <v>147</v>
      </c>
      <c r="G354" s="184"/>
      <c r="H354" s="185"/>
      <c r="I354" s="185"/>
      <c r="J354" s="185"/>
      <c r="K354" s="185"/>
      <c r="L354" s="185"/>
    </row>
    <row r="355" spans="1:12" ht="19.5" customHeight="1" x14ac:dyDescent="0.2">
      <c r="A355" s="181">
        <v>21</v>
      </c>
      <c r="B355" s="181">
        <v>2945</v>
      </c>
      <c r="C355" s="182">
        <v>1101000588324</v>
      </c>
      <c r="D355" s="183" t="s">
        <v>121</v>
      </c>
      <c r="E355" s="183" t="s">
        <v>567</v>
      </c>
      <c r="F355" s="183" t="s">
        <v>134</v>
      </c>
      <c r="G355" s="180"/>
      <c r="H355" s="185"/>
      <c r="I355" s="185"/>
      <c r="J355" s="185"/>
      <c r="K355" s="185"/>
      <c r="L355" s="185"/>
    </row>
    <row r="356" spans="1:12" ht="19.5" customHeight="1" x14ac:dyDescent="0.2">
      <c r="A356" s="181">
        <v>22</v>
      </c>
      <c r="B356" s="181">
        <v>2939</v>
      </c>
      <c r="C356" s="182">
        <v>1302201175654</v>
      </c>
      <c r="D356" s="183" t="s">
        <v>121</v>
      </c>
      <c r="E356" s="183" t="s">
        <v>564</v>
      </c>
      <c r="F356" s="183" t="s">
        <v>359</v>
      </c>
      <c r="G356" s="180"/>
      <c r="H356" s="185"/>
      <c r="I356" s="185"/>
      <c r="J356" s="185"/>
      <c r="K356" s="185"/>
      <c r="L356" s="185"/>
    </row>
    <row r="357" spans="1:12" ht="19.5" customHeight="1" x14ac:dyDescent="0.2">
      <c r="A357" s="181">
        <v>23</v>
      </c>
      <c r="B357" s="178">
        <v>3091</v>
      </c>
      <c r="C357" s="187">
        <v>1571500139738</v>
      </c>
      <c r="D357" s="188" t="s">
        <v>121</v>
      </c>
      <c r="E357" s="185" t="s">
        <v>565</v>
      </c>
      <c r="F357" s="185" t="s">
        <v>566</v>
      </c>
      <c r="G357" s="184"/>
      <c r="H357" s="185"/>
      <c r="I357" s="185"/>
      <c r="J357" s="185"/>
      <c r="K357" s="185"/>
      <c r="L357" s="185"/>
    </row>
    <row r="358" spans="1:12" ht="19.5" customHeight="1" x14ac:dyDescent="0.2">
      <c r="A358" s="181">
        <v>24</v>
      </c>
      <c r="B358" s="199">
        <v>2959</v>
      </c>
      <c r="C358" s="182">
        <v>571500003801</v>
      </c>
      <c r="D358" s="188" t="s">
        <v>121</v>
      </c>
      <c r="E358" s="201" t="s">
        <v>1047</v>
      </c>
      <c r="F358" s="201" t="s">
        <v>158</v>
      </c>
      <c r="G358" s="180"/>
      <c r="H358" s="185"/>
      <c r="I358" s="185"/>
      <c r="J358" s="185"/>
      <c r="K358" s="185"/>
      <c r="L358" s="185"/>
    </row>
    <row r="359" spans="1:12" ht="19.5" customHeight="1" x14ac:dyDescent="0.2">
      <c r="A359" s="181"/>
      <c r="B359" s="181"/>
      <c r="C359" s="186"/>
      <c r="D359" s="183"/>
      <c r="E359" s="183"/>
      <c r="F359" s="183"/>
      <c r="G359" s="180"/>
      <c r="H359" s="185"/>
      <c r="I359" s="185"/>
      <c r="J359" s="185"/>
      <c r="K359" s="185"/>
      <c r="L359" s="185"/>
    </row>
    <row r="360" spans="1:12" ht="19.5" customHeight="1" x14ac:dyDescent="0.2">
      <c r="A360" s="181"/>
      <c r="B360" s="199"/>
      <c r="C360" s="182"/>
      <c r="D360" s="188"/>
      <c r="E360" s="201"/>
      <c r="F360" s="201"/>
      <c r="G360" s="180"/>
      <c r="H360" s="185"/>
      <c r="I360" s="185"/>
      <c r="J360" s="185"/>
      <c r="K360" s="185"/>
      <c r="L360" s="185"/>
    </row>
    <row r="361" spans="1:12" ht="19.5" customHeight="1" x14ac:dyDescent="0.2">
      <c r="A361" s="181"/>
      <c r="B361" s="181"/>
      <c r="C361" s="186"/>
      <c r="D361" s="183"/>
      <c r="E361" s="183"/>
      <c r="F361" s="183"/>
      <c r="G361" s="184"/>
      <c r="H361" s="185"/>
      <c r="I361" s="185"/>
      <c r="J361" s="185"/>
      <c r="K361" s="185"/>
      <c r="L361" s="185"/>
    </row>
    <row r="362" spans="1:12" ht="19.5" customHeight="1" x14ac:dyDescent="0.2">
      <c r="A362" s="181"/>
      <c r="B362" s="199"/>
      <c r="C362" s="182"/>
      <c r="D362" s="200"/>
      <c r="E362" s="201"/>
      <c r="F362" s="201"/>
      <c r="G362" s="184"/>
      <c r="H362" s="185"/>
      <c r="I362" s="185"/>
      <c r="J362" s="185"/>
      <c r="K362" s="185"/>
      <c r="L362" s="185"/>
    </row>
    <row r="363" spans="1:12" ht="19.5" customHeight="1" x14ac:dyDescent="0.2">
      <c r="A363" s="181"/>
      <c r="B363" s="194"/>
      <c r="C363" s="195"/>
      <c r="D363" s="196"/>
      <c r="E363" s="193"/>
      <c r="F363" s="193"/>
      <c r="G363" s="185"/>
      <c r="H363" s="185"/>
      <c r="I363" s="185"/>
      <c r="J363" s="185"/>
      <c r="K363" s="185"/>
      <c r="L363" s="185"/>
    </row>
    <row r="364" spans="1:12" ht="19.5" customHeight="1" x14ac:dyDescent="0.2">
      <c r="A364" s="181"/>
      <c r="B364" s="178"/>
      <c r="C364" s="179"/>
      <c r="D364" s="188"/>
      <c r="E364" s="185"/>
      <c r="F364" s="185"/>
      <c r="G364" s="185"/>
      <c r="H364" s="185"/>
      <c r="I364" s="185"/>
      <c r="J364" s="185"/>
      <c r="K364" s="185"/>
      <c r="L364" s="185"/>
    </row>
    <row r="365" spans="1:12" ht="19.5" customHeight="1" x14ac:dyDescent="0.2">
      <c r="A365" s="181"/>
      <c r="B365" s="178"/>
      <c r="C365" s="179"/>
      <c r="D365" s="188"/>
      <c r="E365" s="185"/>
      <c r="F365" s="185"/>
      <c r="G365" s="185"/>
      <c r="H365" s="185"/>
      <c r="I365" s="185"/>
      <c r="J365" s="185"/>
      <c r="K365" s="185"/>
      <c r="L365" s="185"/>
    </row>
    <row r="366" spans="1:12" ht="19.5" customHeight="1" x14ac:dyDescent="0.2">
      <c r="A366" s="181"/>
      <c r="B366" s="178"/>
      <c r="C366" s="179"/>
      <c r="D366" s="188"/>
      <c r="E366" s="185"/>
      <c r="F366" s="185"/>
      <c r="G366" s="185"/>
      <c r="H366" s="185"/>
      <c r="I366" s="185"/>
      <c r="J366" s="185"/>
      <c r="K366" s="185"/>
      <c r="L366" s="185"/>
    </row>
    <row r="367" spans="1:12" ht="19.5" customHeight="1" x14ac:dyDescent="0.2">
      <c r="A367" s="181"/>
      <c r="B367" s="178"/>
      <c r="C367" s="179" t="s">
        <v>1066</v>
      </c>
      <c r="D367" s="188">
        <f>COUNTIF(D335:D361,"เด็กชาย")</f>
        <v>12</v>
      </c>
      <c r="E367" s="185"/>
      <c r="F367" s="185"/>
      <c r="G367" s="185"/>
      <c r="H367" s="185"/>
      <c r="I367" s="185"/>
      <c r="J367" s="185"/>
      <c r="K367" s="185"/>
      <c r="L367" s="185"/>
    </row>
    <row r="368" spans="1:12" ht="19.5" customHeight="1" x14ac:dyDescent="0.2">
      <c r="A368" s="178"/>
      <c r="B368" s="178"/>
      <c r="C368" s="179" t="s">
        <v>1067</v>
      </c>
      <c r="D368" s="188">
        <f>COUNTIF(D335:D361,"เด็กหญิง")</f>
        <v>12</v>
      </c>
      <c r="E368" s="197"/>
      <c r="F368" s="197"/>
      <c r="G368" s="178"/>
      <c r="H368" s="185"/>
      <c r="I368" s="178"/>
      <c r="J368" s="185"/>
      <c r="K368" s="178"/>
      <c r="L368" s="185"/>
    </row>
    <row r="369" spans="1:12" ht="19.5" customHeight="1" x14ac:dyDescent="0.2">
      <c r="A369" s="178"/>
      <c r="B369" s="178"/>
      <c r="C369" s="179" t="s">
        <v>38</v>
      </c>
      <c r="D369" s="188">
        <f>SUM(D367:D368)</f>
        <v>24</v>
      </c>
      <c r="E369" s="197"/>
      <c r="F369" s="178"/>
      <c r="G369" s="185"/>
      <c r="H369" s="178"/>
      <c r="I369" s="185"/>
      <c r="J369" s="178"/>
      <c r="K369" s="185"/>
      <c r="L369" s="198" t="str">
        <f>L328</f>
        <v>วันที่ 21 พ.ค. 2569</v>
      </c>
    </row>
    <row r="370" spans="1:12" ht="19.5" customHeight="1" x14ac:dyDescent="0.2">
      <c r="A370" s="263" t="s">
        <v>890</v>
      </c>
      <c r="B370" s="264"/>
      <c r="C370" s="264"/>
      <c r="D370" s="264"/>
      <c r="E370" s="264"/>
      <c r="F370" s="264"/>
      <c r="G370" s="264"/>
      <c r="H370" s="264"/>
      <c r="I370" s="264"/>
      <c r="J370" s="264"/>
      <c r="K370" s="264"/>
      <c r="L370" s="264"/>
    </row>
    <row r="371" spans="1:12" ht="19.5" customHeight="1" x14ac:dyDescent="0.2">
      <c r="A371" s="269" t="str">
        <f>A330</f>
        <v>ร่าง-รายชื่อนักเรียนปีการศึกษา 1/2569</v>
      </c>
      <c r="B371" s="269"/>
      <c r="C371" s="269"/>
      <c r="D371" s="269"/>
      <c r="E371" s="269"/>
      <c r="F371" s="269"/>
      <c r="G371" s="269"/>
      <c r="H371" s="269"/>
      <c r="I371" s="269"/>
      <c r="J371" s="269"/>
      <c r="K371" s="269"/>
      <c r="L371" s="269"/>
    </row>
    <row r="372" spans="1:12" ht="19.5" customHeight="1" x14ac:dyDescent="0.2">
      <c r="A372" s="173"/>
      <c r="B372" s="173"/>
      <c r="C372" s="173"/>
      <c r="D372" s="173"/>
      <c r="E372" s="173"/>
      <c r="F372" s="173"/>
      <c r="G372" s="173"/>
      <c r="H372" s="173"/>
      <c r="I372" s="173"/>
      <c r="J372" s="173"/>
      <c r="K372" s="173"/>
      <c r="L372" s="173"/>
    </row>
    <row r="373" spans="1:12" ht="19.5" customHeight="1" x14ac:dyDescent="0.2">
      <c r="A373" s="267" t="s">
        <v>909</v>
      </c>
      <c r="B373" s="267"/>
      <c r="C373" s="267"/>
      <c r="D373" s="268" t="s">
        <v>1020</v>
      </c>
      <c r="E373" s="268"/>
      <c r="F373" s="268"/>
      <c r="G373" s="268"/>
      <c r="H373" s="268"/>
      <c r="I373" s="268"/>
      <c r="J373" s="268"/>
      <c r="K373" s="268"/>
      <c r="L373" s="268"/>
    </row>
    <row r="374" spans="1:12" ht="19.5" customHeight="1" x14ac:dyDescent="0.2">
      <c r="A374" s="175"/>
      <c r="B374" s="175"/>
      <c r="C374" s="176"/>
      <c r="D374" s="174"/>
      <c r="E374" s="174"/>
      <c r="F374" s="177"/>
      <c r="G374" s="175"/>
      <c r="H374" s="175"/>
      <c r="I374" s="175"/>
      <c r="J374" s="175"/>
      <c r="K374" s="175"/>
      <c r="L374" s="175"/>
    </row>
    <row r="375" spans="1:12" ht="19.5" customHeight="1" x14ac:dyDescent="0.2">
      <c r="A375" s="178" t="s">
        <v>43</v>
      </c>
      <c r="B375" s="178" t="s">
        <v>44</v>
      </c>
      <c r="C375" s="179" t="s">
        <v>45</v>
      </c>
      <c r="D375" s="265" t="s">
        <v>892</v>
      </c>
      <c r="E375" s="266"/>
      <c r="F375" s="266"/>
      <c r="G375" s="180"/>
      <c r="H375" s="180"/>
      <c r="I375" s="180"/>
      <c r="J375" s="180"/>
      <c r="K375" s="180"/>
      <c r="L375" s="180"/>
    </row>
    <row r="376" spans="1:12" ht="19.5" customHeight="1" x14ac:dyDescent="0.2">
      <c r="A376" s="181">
        <v>1</v>
      </c>
      <c r="B376" s="181">
        <v>3164</v>
      </c>
      <c r="C376" s="182" t="s">
        <v>568</v>
      </c>
      <c r="D376" s="183" t="s">
        <v>101</v>
      </c>
      <c r="E376" s="183" t="s">
        <v>569</v>
      </c>
      <c r="F376" s="183" t="s">
        <v>570</v>
      </c>
      <c r="G376" s="184"/>
      <c r="H376" s="185"/>
      <c r="I376" s="185"/>
      <c r="J376" s="185"/>
      <c r="K376" s="185"/>
      <c r="L376" s="185"/>
    </row>
    <row r="377" spans="1:12" ht="19.5" customHeight="1" x14ac:dyDescent="0.2">
      <c r="A377" s="181">
        <v>2</v>
      </c>
      <c r="B377" s="181">
        <v>2897</v>
      </c>
      <c r="C377" s="182">
        <v>7571500120408</v>
      </c>
      <c r="D377" s="183" t="s">
        <v>101</v>
      </c>
      <c r="E377" s="183" t="s">
        <v>571</v>
      </c>
      <c r="F377" s="183" t="s">
        <v>572</v>
      </c>
      <c r="G377" s="180"/>
      <c r="H377" s="185"/>
      <c r="I377" s="185"/>
      <c r="J377" s="185"/>
      <c r="K377" s="185"/>
      <c r="L377" s="185"/>
    </row>
    <row r="378" spans="1:12" ht="19.5" customHeight="1" x14ac:dyDescent="0.2">
      <c r="A378" s="181">
        <v>3</v>
      </c>
      <c r="B378" s="181">
        <v>2900</v>
      </c>
      <c r="C378" s="182">
        <v>1579901837999</v>
      </c>
      <c r="D378" s="183" t="s">
        <v>101</v>
      </c>
      <c r="E378" s="183" t="s">
        <v>573</v>
      </c>
      <c r="F378" s="183" t="s">
        <v>574</v>
      </c>
      <c r="G378" s="180"/>
      <c r="H378" s="185"/>
      <c r="I378" s="185"/>
      <c r="J378" s="185"/>
      <c r="K378" s="185"/>
      <c r="L378" s="185"/>
    </row>
    <row r="379" spans="1:12" ht="19.5" customHeight="1" x14ac:dyDescent="0.2">
      <c r="A379" s="181">
        <v>4</v>
      </c>
      <c r="B379" s="181">
        <v>2903</v>
      </c>
      <c r="C379" s="182">
        <v>1571500136593</v>
      </c>
      <c r="D379" s="183" t="s">
        <v>101</v>
      </c>
      <c r="E379" s="183" t="s">
        <v>576</v>
      </c>
      <c r="F379" s="183" t="s">
        <v>455</v>
      </c>
      <c r="G379" s="180"/>
      <c r="H379" s="185"/>
      <c r="I379" s="185"/>
      <c r="J379" s="185"/>
      <c r="K379" s="185"/>
      <c r="L379" s="185"/>
    </row>
    <row r="380" spans="1:12" ht="19.5" customHeight="1" x14ac:dyDescent="0.2">
      <c r="A380" s="181">
        <v>5</v>
      </c>
      <c r="B380" s="181">
        <v>2906</v>
      </c>
      <c r="C380" s="182">
        <v>1571500137522</v>
      </c>
      <c r="D380" s="183" t="s">
        <v>101</v>
      </c>
      <c r="E380" s="183" t="s">
        <v>577</v>
      </c>
      <c r="F380" s="183" t="s">
        <v>236</v>
      </c>
      <c r="G380" s="180"/>
      <c r="H380" s="185"/>
      <c r="I380" s="185"/>
      <c r="J380" s="185"/>
      <c r="K380" s="185"/>
      <c r="L380" s="185"/>
    </row>
    <row r="381" spans="1:12" ht="19.5" customHeight="1" x14ac:dyDescent="0.2">
      <c r="A381" s="181">
        <v>6</v>
      </c>
      <c r="B381" s="181">
        <v>3178</v>
      </c>
      <c r="C381" s="186">
        <v>1579901752748</v>
      </c>
      <c r="D381" s="183" t="s">
        <v>101</v>
      </c>
      <c r="E381" s="183" t="s">
        <v>578</v>
      </c>
      <c r="F381" s="183" t="s">
        <v>579</v>
      </c>
      <c r="G381" s="180"/>
      <c r="H381" s="185"/>
      <c r="I381" s="185"/>
      <c r="J381" s="185"/>
      <c r="K381" s="185"/>
      <c r="L381" s="185"/>
    </row>
    <row r="382" spans="1:12" ht="19.5" customHeight="1" x14ac:dyDescent="0.2">
      <c r="A382" s="181">
        <v>7</v>
      </c>
      <c r="B382" s="181">
        <v>2907</v>
      </c>
      <c r="C382" s="187">
        <v>1579901838138</v>
      </c>
      <c r="D382" s="188" t="s">
        <v>101</v>
      </c>
      <c r="E382" s="185" t="s">
        <v>580</v>
      </c>
      <c r="F382" s="185" t="s">
        <v>540</v>
      </c>
      <c r="G382" s="180"/>
      <c r="H382" s="185"/>
      <c r="I382" s="185"/>
      <c r="J382" s="185"/>
      <c r="K382" s="185"/>
      <c r="L382" s="185"/>
    </row>
    <row r="383" spans="1:12" ht="19.5" customHeight="1" x14ac:dyDescent="0.2">
      <c r="A383" s="181">
        <v>8</v>
      </c>
      <c r="B383" s="181">
        <v>2915</v>
      </c>
      <c r="C383" s="182">
        <v>1571500138413</v>
      </c>
      <c r="D383" s="183" t="s">
        <v>101</v>
      </c>
      <c r="E383" s="183" t="s">
        <v>583</v>
      </c>
      <c r="F383" s="183" t="s">
        <v>175</v>
      </c>
      <c r="G383" s="180"/>
      <c r="H383" s="185"/>
      <c r="I383" s="185"/>
      <c r="J383" s="185"/>
      <c r="K383" s="185"/>
      <c r="L383" s="185"/>
    </row>
    <row r="384" spans="1:12" ht="19.5" customHeight="1" x14ac:dyDescent="0.2">
      <c r="A384" s="181">
        <v>9</v>
      </c>
      <c r="B384" s="181">
        <v>3019</v>
      </c>
      <c r="C384" s="182" t="s">
        <v>584</v>
      </c>
      <c r="D384" s="183" t="s">
        <v>101</v>
      </c>
      <c r="E384" s="183" t="s">
        <v>585</v>
      </c>
      <c r="F384" s="183" t="s">
        <v>103</v>
      </c>
      <c r="G384" s="180"/>
      <c r="H384" s="185"/>
      <c r="I384" s="185"/>
      <c r="J384" s="185"/>
      <c r="K384" s="185"/>
      <c r="L384" s="185"/>
    </row>
    <row r="385" spans="1:12" ht="19.5" customHeight="1" x14ac:dyDescent="0.2">
      <c r="A385" s="181">
        <v>10</v>
      </c>
      <c r="B385" s="181">
        <v>2924</v>
      </c>
      <c r="C385" s="182">
        <v>1579901846653</v>
      </c>
      <c r="D385" s="183" t="s">
        <v>121</v>
      </c>
      <c r="E385" s="183" t="s">
        <v>586</v>
      </c>
      <c r="F385" s="183" t="s">
        <v>587</v>
      </c>
      <c r="G385" s="180"/>
      <c r="H385" s="185"/>
      <c r="I385" s="185"/>
      <c r="J385" s="185"/>
      <c r="K385" s="185"/>
      <c r="L385" s="185"/>
    </row>
    <row r="386" spans="1:12" ht="19.5" customHeight="1" x14ac:dyDescent="0.2">
      <c r="A386" s="181">
        <v>11</v>
      </c>
      <c r="B386" s="181">
        <v>3165</v>
      </c>
      <c r="C386" s="182" t="s">
        <v>588</v>
      </c>
      <c r="D386" s="183" t="s">
        <v>121</v>
      </c>
      <c r="E386" s="183" t="s">
        <v>589</v>
      </c>
      <c r="F386" s="183" t="s">
        <v>570</v>
      </c>
      <c r="G386" s="180"/>
      <c r="H386" s="185"/>
      <c r="I386" s="185"/>
      <c r="J386" s="185"/>
      <c r="K386" s="185"/>
      <c r="L386" s="185"/>
    </row>
    <row r="387" spans="1:12" ht="19.5" customHeight="1" x14ac:dyDescent="0.2">
      <c r="A387" s="181">
        <v>12</v>
      </c>
      <c r="B387" s="181">
        <v>2927</v>
      </c>
      <c r="C387" s="182">
        <v>1571500137280</v>
      </c>
      <c r="D387" s="183" t="s">
        <v>121</v>
      </c>
      <c r="E387" s="183" t="s">
        <v>590</v>
      </c>
      <c r="F387" s="183" t="s">
        <v>591</v>
      </c>
      <c r="G387" s="180"/>
      <c r="H387" s="185"/>
      <c r="I387" s="185"/>
      <c r="J387" s="185"/>
      <c r="K387" s="185"/>
      <c r="L387" s="185"/>
    </row>
    <row r="388" spans="1:12" ht="19.5" customHeight="1" x14ac:dyDescent="0.2">
      <c r="A388" s="181">
        <v>13</v>
      </c>
      <c r="B388" s="181">
        <v>2928</v>
      </c>
      <c r="C388" s="182">
        <v>571500004231</v>
      </c>
      <c r="D388" s="183" t="s">
        <v>121</v>
      </c>
      <c r="E388" s="183" t="s">
        <v>592</v>
      </c>
      <c r="F388" s="183" t="s">
        <v>593</v>
      </c>
      <c r="G388" s="180"/>
      <c r="H388" s="185"/>
      <c r="I388" s="185"/>
      <c r="J388" s="185"/>
      <c r="K388" s="185"/>
      <c r="L388" s="185"/>
    </row>
    <row r="389" spans="1:12" ht="19.5" customHeight="1" x14ac:dyDescent="0.2">
      <c r="A389" s="181">
        <v>14</v>
      </c>
      <c r="B389" s="181">
        <v>2930</v>
      </c>
      <c r="C389" s="182" t="s">
        <v>594</v>
      </c>
      <c r="D389" s="183" t="s">
        <v>121</v>
      </c>
      <c r="E389" s="183" t="s">
        <v>595</v>
      </c>
      <c r="F389" s="183" t="s">
        <v>103</v>
      </c>
      <c r="G389" s="180"/>
      <c r="H389" s="185"/>
      <c r="I389" s="185"/>
      <c r="J389" s="185"/>
      <c r="K389" s="185"/>
      <c r="L389" s="185"/>
    </row>
    <row r="390" spans="1:12" ht="19.5" customHeight="1" x14ac:dyDescent="0.2">
      <c r="A390" s="181">
        <v>15</v>
      </c>
      <c r="B390" s="181">
        <v>2932</v>
      </c>
      <c r="C390" s="182">
        <v>571500037759</v>
      </c>
      <c r="D390" s="183" t="s">
        <v>121</v>
      </c>
      <c r="E390" s="183" t="s">
        <v>233</v>
      </c>
      <c r="F390" s="183" t="s">
        <v>103</v>
      </c>
      <c r="G390" s="180"/>
      <c r="H390" s="185"/>
      <c r="I390" s="185"/>
      <c r="J390" s="185"/>
      <c r="K390" s="185"/>
      <c r="L390" s="185"/>
    </row>
    <row r="391" spans="1:12" ht="19.5" customHeight="1" x14ac:dyDescent="0.2">
      <c r="A391" s="181">
        <v>16</v>
      </c>
      <c r="B391" s="181">
        <v>2933</v>
      </c>
      <c r="C391" s="182">
        <v>571500037872</v>
      </c>
      <c r="D391" s="183" t="s">
        <v>121</v>
      </c>
      <c r="E391" s="183" t="s">
        <v>596</v>
      </c>
      <c r="F391" s="183" t="s">
        <v>103</v>
      </c>
      <c r="G391" s="180"/>
      <c r="H391" s="185"/>
      <c r="I391" s="185"/>
      <c r="J391" s="185"/>
      <c r="K391" s="185"/>
      <c r="L391" s="185"/>
    </row>
    <row r="392" spans="1:12" ht="19.5" customHeight="1" x14ac:dyDescent="0.2">
      <c r="A392" s="181">
        <v>17</v>
      </c>
      <c r="B392" s="181">
        <v>2936</v>
      </c>
      <c r="C392" s="182">
        <v>1571500139053</v>
      </c>
      <c r="D392" s="183" t="s">
        <v>121</v>
      </c>
      <c r="E392" s="183" t="s">
        <v>563</v>
      </c>
      <c r="F392" s="183" t="s">
        <v>251</v>
      </c>
      <c r="G392" s="180"/>
      <c r="H392" s="185"/>
      <c r="I392" s="185"/>
      <c r="J392" s="185"/>
      <c r="K392" s="185"/>
      <c r="L392" s="185"/>
    </row>
    <row r="393" spans="1:12" ht="19.5" customHeight="1" x14ac:dyDescent="0.2">
      <c r="A393" s="181">
        <v>18</v>
      </c>
      <c r="B393" s="181">
        <v>2938</v>
      </c>
      <c r="C393" s="182">
        <v>1571500138375</v>
      </c>
      <c r="D393" s="183" t="s">
        <v>121</v>
      </c>
      <c r="E393" s="183" t="s">
        <v>597</v>
      </c>
      <c r="F393" s="183" t="s">
        <v>124</v>
      </c>
      <c r="G393" s="180"/>
      <c r="H393" s="185"/>
      <c r="I393" s="185"/>
      <c r="J393" s="185"/>
      <c r="K393" s="185"/>
      <c r="L393" s="185"/>
    </row>
    <row r="394" spans="1:12" ht="19.5" customHeight="1" x14ac:dyDescent="0.2">
      <c r="A394" s="181">
        <v>19</v>
      </c>
      <c r="B394" s="181">
        <v>2942</v>
      </c>
      <c r="C394" s="182">
        <v>571500037864</v>
      </c>
      <c r="D394" s="183" t="s">
        <v>121</v>
      </c>
      <c r="E394" s="183" t="s">
        <v>598</v>
      </c>
      <c r="F394" s="183" t="s">
        <v>103</v>
      </c>
      <c r="G394" s="180"/>
      <c r="H394" s="185"/>
      <c r="I394" s="185"/>
      <c r="J394" s="185"/>
      <c r="K394" s="185"/>
      <c r="L394" s="185"/>
    </row>
    <row r="395" spans="1:12" ht="19.5" customHeight="1" x14ac:dyDescent="0.2">
      <c r="A395" s="181">
        <v>20</v>
      </c>
      <c r="B395" s="181">
        <v>2943</v>
      </c>
      <c r="C395" s="191">
        <v>1101700600891</v>
      </c>
      <c r="D395" s="192" t="s">
        <v>121</v>
      </c>
      <c r="E395" s="193" t="s">
        <v>599</v>
      </c>
      <c r="F395" s="193" t="s">
        <v>372</v>
      </c>
      <c r="G395" s="184"/>
      <c r="H395" s="185"/>
      <c r="I395" s="185"/>
      <c r="J395" s="185"/>
      <c r="K395" s="185"/>
      <c r="L395" s="185"/>
    </row>
    <row r="396" spans="1:12" ht="19.5" customHeight="1" x14ac:dyDescent="0.2">
      <c r="A396" s="181">
        <v>21</v>
      </c>
      <c r="B396" s="181">
        <v>2944</v>
      </c>
      <c r="C396" s="182" t="s">
        <v>600</v>
      </c>
      <c r="D396" s="183" t="s">
        <v>121</v>
      </c>
      <c r="E396" s="183" t="s">
        <v>601</v>
      </c>
      <c r="F396" s="183" t="s">
        <v>103</v>
      </c>
      <c r="G396" s="180"/>
      <c r="H396" s="185"/>
      <c r="I396" s="185"/>
      <c r="J396" s="185"/>
      <c r="K396" s="185"/>
      <c r="L396" s="185"/>
    </row>
    <row r="397" spans="1:12" ht="19.5" customHeight="1" x14ac:dyDescent="0.2">
      <c r="A397" s="181">
        <v>22</v>
      </c>
      <c r="B397" s="181">
        <v>2948</v>
      </c>
      <c r="C397" s="182">
        <v>571500037970</v>
      </c>
      <c r="D397" s="183" t="s">
        <v>121</v>
      </c>
      <c r="E397" s="183" t="s">
        <v>602</v>
      </c>
      <c r="F397" s="183" t="s">
        <v>124</v>
      </c>
      <c r="G397" s="180"/>
      <c r="H397" s="185"/>
      <c r="I397" s="185"/>
      <c r="J397" s="185"/>
      <c r="K397" s="185"/>
      <c r="L397" s="185"/>
    </row>
    <row r="398" spans="1:12" ht="19.5" customHeight="1" x14ac:dyDescent="0.2">
      <c r="A398" s="181">
        <v>23</v>
      </c>
      <c r="B398" s="178">
        <v>2922</v>
      </c>
      <c r="C398" s="187">
        <v>1579901824072</v>
      </c>
      <c r="D398" s="188" t="s">
        <v>121</v>
      </c>
      <c r="E398" s="185" t="s">
        <v>223</v>
      </c>
      <c r="F398" s="185" t="s">
        <v>283</v>
      </c>
      <c r="G398" s="184"/>
      <c r="H398" s="185"/>
      <c r="I398" s="185"/>
      <c r="J398" s="185"/>
      <c r="K398" s="185"/>
      <c r="L398" s="185"/>
    </row>
    <row r="399" spans="1:12" ht="19.5" customHeight="1" x14ac:dyDescent="0.2">
      <c r="A399" s="181"/>
      <c r="B399" s="181"/>
      <c r="C399" s="182"/>
      <c r="D399" s="183"/>
      <c r="E399" s="183"/>
      <c r="F399" s="183"/>
      <c r="G399" s="180"/>
      <c r="H399" s="185"/>
      <c r="I399" s="185"/>
      <c r="J399" s="185"/>
      <c r="K399" s="185"/>
      <c r="L399" s="185"/>
    </row>
    <row r="400" spans="1:12" ht="19.5" customHeight="1" x14ac:dyDescent="0.2">
      <c r="A400" s="181"/>
      <c r="B400" s="181"/>
      <c r="C400" s="182"/>
      <c r="D400" s="183"/>
      <c r="E400" s="183"/>
      <c r="F400" s="183"/>
      <c r="G400" s="180"/>
      <c r="H400" s="185"/>
      <c r="I400" s="185"/>
      <c r="J400" s="185"/>
      <c r="K400" s="185"/>
      <c r="L400" s="185"/>
    </row>
    <row r="401" spans="1:12" ht="19.5" customHeight="1" x14ac:dyDescent="0.2">
      <c r="A401" s="181"/>
      <c r="B401" s="181"/>
      <c r="C401" s="186"/>
      <c r="D401" s="183"/>
      <c r="E401" s="183"/>
      <c r="F401" s="183"/>
      <c r="G401" s="180"/>
      <c r="H401" s="185"/>
      <c r="I401" s="185"/>
      <c r="J401" s="185"/>
      <c r="K401" s="185"/>
      <c r="L401" s="185"/>
    </row>
    <row r="402" spans="1:12" ht="19.5" customHeight="1" x14ac:dyDescent="0.2">
      <c r="A402" s="181"/>
      <c r="B402" s="181"/>
      <c r="C402" s="182"/>
      <c r="D402" s="183"/>
      <c r="E402" s="183"/>
      <c r="F402" s="183"/>
      <c r="G402" s="184"/>
      <c r="H402" s="185"/>
      <c r="I402" s="185"/>
      <c r="J402" s="185"/>
      <c r="K402" s="185"/>
      <c r="L402" s="185"/>
    </row>
    <row r="403" spans="1:12" ht="19.5" customHeight="1" x14ac:dyDescent="0.2">
      <c r="A403" s="181"/>
      <c r="B403" s="181"/>
      <c r="C403" s="182"/>
      <c r="D403" s="183"/>
      <c r="E403" s="183"/>
      <c r="F403" s="183"/>
      <c r="G403" s="184"/>
      <c r="H403" s="185"/>
      <c r="I403" s="185"/>
      <c r="J403" s="185"/>
      <c r="K403" s="185"/>
      <c r="L403" s="185"/>
    </row>
    <row r="404" spans="1:12" ht="19.5" customHeight="1" x14ac:dyDescent="0.2">
      <c r="A404" s="181"/>
      <c r="B404" s="194"/>
      <c r="C404" s="195"/>
      <c r="D404" s="196"/>
      <c r="E404" s="193"/>
      <c r="F404" s="193"/>
      <c r="G404" s="185"/>
      <c r="H404" s="185"/>
      <c r="I404" s="185"/>
      <c r="J404" s="185"/>
      <c r="K404" s="185"/>
      <c r="L404" s="185"/>
    </row>
    <row r="405" spans="1:12" ht="19.5" customHeight="1" x14ac:dyDescent="0.2">
      <c r="A405" s="181"/>
      <c r="B405" s="178"/>
      <c r="C405" s="179"/>
      <c r="D405" s="188"/>
      <c r="E405" s="185"/>
      <c r="F405" s="185"/>
      <c r="G405" s="185"/>
      <c r="H405" s="185"/>
      <c r="I405" s="185"/>
      <c r="J405" s="185"/>
      <c r="K405" s="185"/>
      <c r="L405" s="185"/>
    </row>
    <row r="406" spans="1:12" ht="19.5" customHeight="1" x14ac:dyDescent="0.2">
      <c r="A406" s="181"/>
      <c r="B406" s="178"/>
      <c r="C406" s="179"/>
      <c r="D406" s="188"/>
      <c r="E406" s="185"/>
      <c r="F406" s="185"/>
      <c r="G406" s="185"/>
      <c r="H406" s="185"/>
      <c r="I406" s="185"/>
      <c r="J406" s="185"/>
      <c r="K406" s="185"/>
      <c r="L406" s="185"/>
    </row>
    <row r="407" spans="1:12" ht="19.5" customHeight="1" x14ac:dyDescent="0.2">
      <c r="A407" s="181"/>
      <c r="B407" s="178"/>
      <c r="C407" s="179"/>
      <c r="D407" s="188"/>
      <c r="E407" s="185"/>
      <c r="F407" s="185"/>
      <c r="G407" s="185"/>
      <c r="H407" s="185"/>
      <c r="I407" s="185"/>
      <c r="J407" s="185"/>
      <c r="K407" s="185"/>
      <c r="L407" s="185"/>
    </row>
    <row r="408" spans="1:12" ht="19.5" customHeight="1" x14ac:dyDescent="0.2">
      <c r="A408" s="181"/>
      <c r="B408" s="178"/>
      <c r="C408" s="179" t="s">
        <v>1066</v>
      </c>
      <c r="D408" s="188">
        <f>COUNTIF(D376:D402,"เด็กชาย")</f>
        <v>9</v>
      </c>
      <c r="E408" s="185"/>
      <c r="F408" s="185"/>
      <c r="G408" s="185"/>
      <c r="H408" s="185"/>
      <c r="I408" s="185"/>
      <c r="J408" s="185"/>
      <c r="K408" s="185"/>
      <c r="L408" s="185"/>
    </row>
    <row r="409" spans="1:12" ht="19.5" customHeight="1" x14ac:dyDescent="0.2">
      <c r="A409" s="178"/>
      <c r="B409" s="178"/>
      <c r="C409" s="179" t="s">
        <v>1067</v>
      </c>
      <c r="D409" s="188">
        <f>COUNTIF(D376:D402,"เด็กหญิง")</f>
        <v>14</v>
      </c>
      <c r="E409" s="197"/>
      <c r="F409" s="197"/>
      <c r="G409" s="178"/>
      <c r="H409" s="185"/>
      <c r="I409" s="178"/>
      <c r="J409" s="185"/>
      <c r="K409" s="178"/>
      <c r="L409" s="185"/>
    </row>
    <row r="410" spans="1:12" ht="19.5" customHeight="1" x14ac:dyDescent="0.2">
      <c r="A410" s="178"/>
      <c r="B410" s="178"/>
      <c r="C410" s="179" t="s">
        <v>38</v>
      </c>
      <c r="D410" s="188">
        <f>SUM(D408:D409)</f>
        <v>23</v>
      </c>
      <c r="E410" s="197"/>
      <c r="F410" s="178"/>
      <c r="G410" s="185"/>
      <c r="H410" s="178"/>
      <c r="I410" s="185"/>
      <c r="J410" s="178"/>
      <c r="K410" s="185"/>
      <c r="L410" s="198" t="str">
        <f>L369</f>
        <v>วันที่ 21 พ.ค. 2569</v>
      </c>
    </row>
    <row r="411" spans="1:12" ht="19.5" customHeight="1" x14ac:dyDescent="0.2">
      <c r="A411" s="263" t="s">
        <v>890</v>
      </c>
      <c r="B411" s="264"/>
      <c r="C411" s="264"/>
      <c r="D411" s="264"/>
      <c r="E411" s="264"/>
      <c r="F411" s="264"/>
      <c r="G411" s="264"/>
      <c r="H411" s="264"/>
      <c r="I411" s="264"/>
      <c r="J411" s="264"/>
      <c r="K411" s="264"/>
      <c r="L411" s="264"/>
    </row>
    <row r="412" spans="1:12" ht="19.5" customHeight="1" x14ac:dyDescent="0.2">
      <c r="A412" s="269" t="str">
        <f>A371</f>
        <v>ร่าง-รายชื่อนักเรียนปีการศึกษา 1/2569</v>
      </c>
      <c r="B412" s="269"/>
      <c r="C412" s="269"/>
      <c r="D412" s="269"/>
      <c r="E412" s="269"/>
      <c r="F412" s="269"/>
      <c r="G412" s="269"/>
      <c r="H412" s="269"/>
      <c r="I412" s="269"/>
      <c r="J412" s="269"/>
      <c r="K412" s="269"/>
      <c r="L412" s="269"/>
    </row>
    <row r="413" spans="1:12" ht="19.5" customHeight="1" x14ac:dyDescent="0.2">
      <c r="A413" s="173"/>
      <c r="B413" s="173"/>
      <c r="C413" s="173"/>
      <c r="D413" s="173"/>
      <c r="E413" s="173"/>
      <c r="F413" s="173"/>
      <c r="G413" s="173"/>
      <c r="H413" s="173"/>
      <c r="I413" s="173"/>
      <c r="J413" s="173"/>
      <c r="K413" s="173"/>
      <c r="L413" s="173"/>
    </row>
    <row r="414" spans="1:12" ht="19.5" customHeight="1" x14ac:dyDescent="0.2">
      <c r="A414" s="267" t="s">
        <v>910</v>
      </c>
      <c r="B414" s="267"/>
      <c r="C414" s="267"/>
      <c r="D414" s="268" t="s">
        <v>1021</v>
      </c>
      <c r="E414" s="268"/>
      <c r="F414" s="268"/>
      <c r="G414" s="268"/>
      <c r="H414" s="268"/>
      <c r="I414" s="268"/>
      <c r="J414" s="268"/>
      <c r="K414" s="268"/>
      <c r="L414" s="268"/>
    </row>
    <row r="415" spans="1:12" ht="19.5" customHeight="1" x14ac:dyDescent="0.2">
      <c r="A415" s="175"/>
      <c r="B415" s="175"/>
      <c r="C415" s="176"/>
      <c r="D415" s="174"/>
      <c r="E415" s="174"/>
      <c r="F415" s="177"/>
      <c r="G415" s="175"/>
      <c r="H415" s="175"/>
      <c r="I415" s="175"/>
      <c r="J415" s="175"/>
      <c r="K415" s="175"/>
      <c r="L415" s="175"/>
    </row>
    <row r="416" spans="1:12" ht="19.5" customHeight="1" x14ac:dyDescent="0.2">
      <c r="A416" s="178" t="s">
        <v>43</v>
      </c>
      <c r="B416" s="178" t="s">
        <v>44</v>
      </c>
      <c r="C416" s="179" t="s">
        <v>45</v>
      </c>
      <c r="D416" s="265" t="s">
        <v>892</v>
      </c>
      <c r="E416" s="266"/>
      <c r="F416" s="266"/>
      <c r="G416" s="180"/>
      <c r="H416" s="180"/>
      <c r="I416" s="180"/>
      <c r="J416" s="180"/>
      <c r="K416" s="180"/>
      <c r="L416" s="180"/>
    </row>
    <row r="417" spans="1:12" ht="19.5" customHeight="1" x14ac:dyDescent="0.2">
      <c r="A417" s="181">
        <v>1</v>
      </c>
      <c r="B417" s="181">
        <v>2826</v>
      </c>
      <c r="C417" s="182">
        <v>1579901751857</v>
      </c>
      <c r="D417" s="183" t="s">
        <v>101</v>
      </c>
      <c r="E417" s="183" t="s">
        <v>102</v>
      </c>
      <c r="F417" s="183" t="s">
        <v>603</v>
      </c>
      <c r="G417" s="184"/>
      <c r="H417" s="185"/>
      <c r="I417" s="185"/>
      <c r="J417" s="185"/>
      <c r="K417" s="185"/>
      <c r="L417" s="185"/>
    </row>
    <row r="418" spans="1:12" ht="19.5" customHeight="1" x14ac:dyDescent="0.2">
      <c r="A418" s="181">
        <v>2</v>
      </c>
      <c r="B418" s="181">
        <v>2827</v>
      </c>
      <c r="C418" s="182">
        <v>959800000064</v>
      </c>
      <c r="D418" s="183" t="s">
        <v>101</v>
      </c>
      <c r="E418" s="183" t="s">
        <v>604</v>
      </c>
      <c r="F418" s="183" t="s">
        <v>341</v>
      </c>
      <c r="G418" s="180"/>
      <c r="H418" s="185"/>
      <c r="I418" s="185"/>
      <c r="J418" s="185"/>
      <c r="K418" s="185"/>
      <c r="L418" s="185"/>
    </row>
    <row r="419" spans="1:12" ht="19.5" customHeight="1" x14ac:dyDescent="0.2">
      <c r="A419" s="181">
        <v>3</v>
      </c>
      <c r="B419" s="181">
        <v>2828</v>
      </c>
      <c r="C419" s="182" t="s">
        <v>605</v>
      </c>
      <c r="D419" s="183" t="s">
        <v>101</v>
      </c>
      <c r="E419" s="183" t="s">
        <v>188</v>
      </c>
      <c r="F419" s="183" t="s">
        <v>103</v>
      </c>
      <c r="G419" s="180"/>
      <c r="H419" s="185"/>
      <c r="I419" s="185"/>
      <c r="J419" s="185"/>
      <c r="K419" s="185"/>
      <c r="L419" s="185"/>
    </row>
    <row r="420" spans="1:12" ht="19.5" customHeight="1" x14ac:dyDescent="0.2">
      <c r="A420" s="181">
        <v>4</v>
      </c>
      <c r="B420" s="181">
        <v>2830</v>
      </c>
      <c r="C420" s="186">
        <v>1571500133446</v>
      </c>
      <c r="D420" s="183" t="s">
        <v>101</v>
      </c>
      <c r="E420" s="183" t="s">
        <v>606</v>
      </c>
      <c r="F420" s="183" t="s">
        <v>575</v>
      </c>
      <c r="G420" s="180"/>
      <c r="H420" s="185"/>
      <c r="I420" s="185"/>
      <c r="J420" s="185"/>
      <c r="K420" s="185"/>
      <c r="L420" s="185"/>
    </row>
    <row r="421" spans="1:12" ht="19.5" customHeight="1" x14ac:dyDescent="0.2">
      <c r="A421" s="181">
        <v>5</v>
      </c>
      <c r="B421" s="181">
        <v>2831</v>
      </c>
      <c r="C421" s="182">
        <v>571500037929</v>
      </c>
      <c r="D421" s="183" t="s">
        <v>101</v>
      </c>
      <c r="E421" s="183" t="s">
        <v>607</v>
      </c>
      <c r="F421" s="183" t="s">
        <v>118</v>
      </c>
      <c r="G421" s="180"/>
      <c r="H421" s="185"/>
      <c r="I421" s="185"/>
      <c r="J421" s="185"/>
      <c r="K421" s="185"/>
      <c r="L421" s="185"/>
    </row>
    <row r="422" spans="1:12" ht="19.5" customHeight="1" x14ac:dyDescent="0.2">
      <c r="A422" s="181">
        <v>6</v>
      </c>
      <c r="B422" s="181">
        <v>2833</v>
      </c>
      <c r="C422" s="182">
        <v>571500003706</v>
      </c>
      <c r="D422" s="183" t="s">
        <v>101</v>
      </c>
      <c r="E422" s="183" t="s">
        <v>608</v>
      </c>
      <c r="F422" s="183" t="s">
        <v>103</v>
      </c>
      <c r="G422" s="180"/>
      <c r="H422" s="185"/>
      <c r="I422" s="185"/>
      <c r="J422" s="185"/>
      <c r="K422" s="185"/>
      <c r="L422" s="185"/>
    </row>
    <row r="423" spans="1:12" ht="19.5" customHeight="1" x14ac:dyDescent="0.2">
      <c r="A423" s="181">
        <v>7</v>
      </c>
      <c r="B423" s="181">
        <v>2836</v>
      </c>
      <c r="C423" s="186">
        <v>1579901763766</v>
      </c>
      <c r="D423" s="183" t="s">
        <v>101</v>
      </c>
      <c r="E423" s="183" t="s">
        <v>609</v>
      </c>
      <c r="F423" s="183" t="s">
        <v>132</v>
      </c>
      <c r="G423" s="180"/>
      <c r="H423" s="185"/>
      <c r="I423" s="185"/>
      <c r="J423" s="185"/>
      <c r="K423" s="185"/>
      <c r="L423" s="185"/>
    </row>
    <row r="424" spans="1:12" ht="19.5" customHeight="1" x14ac:dyDescent="0.2">
      <c r="A424" s="181">
        <v>8</v>
      </c>
      <c r="B424" s="181">
        <v>2837</v>
      </c>
      <c r="C424" s="187">
        <v>1571500132822</v>
      </c>
      <c r="D424" s="188" t="s">
        <v>101</v>
      </c>
      <c r="E424" s="185" t="s">
        <v>610</v>
      </c>
      <c r="F424" s="185" t="s">
        <v>253</v>
      </c>
      <c r="G424" s="180"/>
      <c r="H424" s="185"/>
      <c r="I424" s="185"/>
      <c r="J424" s="185"/>
      <c r="K424" s="185"/>
      <c r="L424" s="185"/>
    </row>
    <row r="425" spans="1:12" ht="19.5" customHeight="1" x14ac:dyDescent="0.2">
      <c r="A425" s="181">
        <v>9</v>
      </c>
      <c r="B425" s="181">
        <v>2843</v>
      </c>
      <c r="C425" s="186" t="s">
        <v>611</v>
      </c>
      <c r="D425" s="183" t="s">
        <v>101</v>
      </c>
      <c r="E425" s="183" t="s">
        <v>612</v>
      </c>
      <c r="F425" s="183" t="s">
        <v>153</v>
      </c>
      <c r="G425" s="180"/>
      <c r="H425" s="185"/>
      <c r="I425" s="185"/>
      <c r="J425" s="185"/>
      <c r="K425" s="185"/>
      <c r="L425" s="185"/>
    </row>
    <row r="426" spans="1:12" ht="19.5" customHeight="1" x14ac:dyDescent="0.2">
      <c r="A426" s="181">
        <v>10</v>
      </c>
      <c r="B426" s="181">
        <v>2845</v>
      </c>
      <c r="C426" s="182">
        <v>1571500133756</v>
      </c>
      <c r="D426" s="183" t="s">
        <v>101</v>
      </c>
      <c r="E426" s="183" t="s">
        <v>117</v>
      </c>
      <c r="F426" s="183" t="s">
        <v>613</v>
      </c>
      <c r="G426" s="180"/>
      <c r="H426" s="185"/>
      <c r="I426" s="185"/>
      <c r="J426" s="185"/>
      <c r="K426" s="185"/>
      <c r="L426" s="185"/>
    </row>
    <row r="427" spans="1:12" ht="19.5" customHeight="1" x14ac:dyDescent="0.2">
      <c r="A427" s="181">
        <v>11</v>
      </c>
      <c r="B427" s="181">
        <v>2782</v>
      </c>
      <c r="C427" s="182">
        <v>571500002742</v>
      </c>
      <c r="D427" s="183" t="s">
        <v>101</v>
      </c>
      <c r="E427" s="183" t="s">
        <v>215</v>
      </c>
      <c r="F427" s="183" t="s">
        <v>229</v>
      </c>
      <c r="G427" s="180"/>
      <c r="H427" s="185"/>
      <c r="I427" s="185"/>
      <c r="J427" s="185"/>
      <c r="K427" s="185"/>
      <c r="L427" s="185"/>
    </row>
    <row r="428" spans="1:12" ht="19.5" customHeight="1" x14ac:dyDescent="0.2">
      <c r="A428" s="181">
        <v>12</v>
      </c>
      <c r="B428" s="181">
        <v>2851</v>
      </c>
      <c r="C428" s="182" t="s">
        <v>614</v>
      </c>
      <c r="D428" s="183" t="s">
        <v>101</v>
      </c>
      <c r="E428" s="183" t="s">
        <v>615</v>
      </c>
      <c r="F428" s="183" t="s">
        <v>103</v>
      </c>
      <c r="G428" s="180"/>
      <c r="H428" s="185"/>
      <c r="I428" s="185"/>
      <c r="J428" s="185"/>
      <c r="K428" s="185"/>
      <c r="L428" s="185"/>
    </row>
    <row r="429" spans="1:12" ht="19.5" customHeight="1" x14ac:dyDescent="0.2">
      <c r="A429" s="181">
        <v>13</v>
      </c>
      <c r="B429" s="181">
        <v>2853</v>
      </c>
      <c r="C429" s="182">
        <v>1571500133900</v>
      </c>
      <c r="D429" s="183" t="s">
        <v>101</v>
      </c>
      <c r="E429" s="183" t="s">
        <v>616</v>
      </c>
      <c r="F429" s="183" t="s">
        <v>538</v>
      </c>
      <c r="G429" s="180"/>
      <c r="H429" s="185"/>
      <c r="I429" s="185"/>
      <c r="J429" s="185"/>
      <c r="K429" s="185"/>
      <c r="L429" s="185"/>
    </row>
    <row r="430" spans="1:12" ht="19.5" customHeight="1" x14ac:dyDescent="0.2">
      <c r="A430" s="181">
        <v>14</v>
      </c>
      <c r="B430" s="181">
        <v>2890</v>
      </c>
      <c r="C430" s="182">
        <v>571500037961</v>
      </c>
      <c r="D430" s="183" t="s">
        <v>101</v>
      </c>
      <c r="E430" s="183" t="s">
        <v>617</v>
      </c>
      <c r="F430" s="183" t="s">
        <v>103</v>
      </c>
      <c r="G430" s="180"/>
      <c r="H430" s="185"/>
      <c r="I430" s="185"/>
      <c r="J430" s="185"/>
      <c r="K430" s="185"/>
      <c r="L430" s="185"/>
    </row>
    <row r="431" spans="1:12" ht="19.5" customHeight="1" x14ac:dyDescent="0.2">
      <c r="A431" s="181">
        <v>15</v>
      </c>
      <c r="B431" s="181">
        <v>3010</v>
      </c>
      <c r="C431" s="182">
        <v>1579901733450</v>
      </c>
      <c r="D431" s="183" t="s">
        <v>121</v>
      </c>
      <c r="E431" s="183" t="s">
        <v>618</v>
      </c>
      <c r="F431" s="183" t="s">
        <v>619</v>
      </c>
      <c r="G431" s="180"/>
      <c r="H431" s="185"/>
      <c r="I431" s="185"/>
      <c r="J431" s="185"/>
      <c r="K431" s="185"/>
      <c r="L431" s="185"/>
    </row>
    <row r="432" spans="1:12" ht="19.5" customHeight="1" x14ac:dyDescent="0.2">
      <c r="A432" s="181">
        <v>16</v>
      </c>
      <c r="B432" s="181">
        <v>2855</v>
      </c>
      <c r="C432" s="182">
        <v>1571500134850</v>
      </c>
      <c r="D432" s="183" t="s">
        <v>121</v>
      </c>
      <c r="E432" s="183" t="s">
        <v>620</v>
      </c>
      <c r="F432" s="183" t="s">
        <v>561</v>
      </c>
      <c r="G432" s="180"/>
      <c r="H432" s="185"/>
      <c r="I432" s="185"/>
      <c r="J432" s="185"/>
      <c r="K432" s="185"/>
      <c r="L432" s="185"/>
    </row>
    <row r="433" spans="1:12" ht="19.5" customHeight="1" x14ac:dyDescent="0.2">
      <c r="A433" s="181">
        <v>17</v>
      </c>
      <c r="B433" s="181">
        <v>2858</v>
      </c>
      <c r="C433" s="182">
        <v>1571500135830</v>
      </c>
      <c r="D433" s="183" t="s">
        <v>121</v>
      </c>
      <c r="E433" s="183" t="s">
        <v>621</v>
      </c>
      <c r="F433" s="183" t="s">
        <v>622</v>
      </c>
      <c r="G433" s="180"/>
      <c r="H433" s="185"/>
      <c r="I433" s="185"/>
      <c r="J433" s="185"/>
      <c r="K433" s="185"/>
      <c r="L433" s="185"/>
    </row>
    <row r="434" spans="1:12" ht="19.5" customHeight="1" x14ac:dyDescent="0.2">
      <c r="A434" s="181">
        <v>18</v>
      </c>
      <c r="B434" s="181">
        <v>3009</v>
      </c>
      <c r="C434" s="182">
        <v>1571500134965</v>
      </c>
      <c r="D434" s="183" t="s">
        <v>121</v>
      </c>
      <c r="E434" s="183" t="s">
        <v>386</v>
      </c>
      <c r="F434" s="183" t="s">
        <v>623</v>
      </c>
      <c r="G434" s="180"/>
      <c r="H434" s="185"/>
      <c r="I434" s="185"/>
      <c r="J434" s="185"/>
      <c r="K434" s="185"/>
      <c r="L434" s="185"/>
    </row>
    <row r="435" spans="1:12" ht="19.5" customHeight="1" x14ac:dyDescent="0.2">
      <c r="A435" s="181">
        <v>19</v>
      </c>
      <c r="B435" s="181">
        <v>2864</v>
      </c>
      <c r="C435" s="182">
        <v>571500037988</v>
      </c>
      <c r="D435" s="183" t="s">
        <v>121</v>
      </c>
      <c r="E435" s="183" t="s">
        <v>624</v>
      </c>
      <c r="F435" s="183" t="s">
        <v>103</v>
      </c>
      <c r="G435" s="180"/>
      <c r="H435" s="185"/>
      <c r="I435" s="185"/>
      <c r="J435" s="185"/>
      <c r="K435" s="185"/>
      <c r="L435" s="185"/>
    </row>
    <row r="436" spans="1:12" ht="19.5" customHeight="1" x14ac:dyDescent="0.2">
      <c r="A436" s="181">
        <v>20</v>
      </c>
      <c r="B436" s="181">
        <v>2865</v>
      </c>
      <c r="C436" s="191">
        <v>571500038101</v>
      </c>
      <c r="D436" s="192" t="s">
        <v>121</v>
      </c>
      <c r="E436" s="193" t="s">
        <v>204</v>
      </c>
      <c r="F436" s="193" t="s">
        <v>103</v>
      </c>
      <c r="G436" s="184"/>
      <c r="H436" s="185"/>
      <c r="I436" s="185"/>
      <c r="J436" s="185"/>
      <c r="K436" s="185"/>
      <c r="L436" s="185"/>
    </row>
    <row r="437" spans="1:12" ht="19.5" customHeight="1" x14ac:dyDescent="0.2">
      <c r="A437" s="181">
        <v>21</v>
      </c>
      <c r="B437" s="181">
        <v>2867</v>
      </c>
      <c r="C437" s="182">
        <v>571500038119</v>
      </c>
      <c r="D437" s="183" t="s">
        <v>121</v>
      </c>
      <c r="E437" s="183" t="s">
        <v>625</v>
      </c>
      <c r="F437" s="183" t="s">
        <v>103</v>
      </c>
      <c r="G437" s="180"/>
      <c r="H437" s="185"/>
      <c r="I437" s="185"/>
      <c r="J437" s="185"/>
      <c r="K437" s="185"/>
      <c r="L437" s="185"/>
    </row>
    <row r="438" spans="1:12" ht="19.5" customHeight="1" x14ac:dyDescent="0.2">
      <c r="A438" s="181">
        <v>22</v>
      </c>
      <c r="B438" s="181">
        <v>2871</v>
      </c>
      <c r="C438" s="182">
        <v>579900025089</v>
      </c>
      <c r="D438" s="183" t="s">
        <v>121</v>
      </c>
      <c r="E438" s="183" t="s">
        <v>626</v>
      </c>
      <c r="F438" s="183" t="s">
        <v>229</v>
      </c>
      <c r="G438" s="180"/>
      <c r="H438" s="185"/>
      <c r="I438" s="185"/>
      <c r="J438" s="185"/>
      <c r="K438" s="185"/>
      <c r="L438" s="185"/>
    </row>
    <row r="439" spans="1:12" ht="19.5" customHeight="1" x14ac:dyDescent="0.2">
      <c r="A439" s="181">
        <v>23</v>
      </c>
      <c r="B439" s="178">
        <v>2873</v>
      </c>
      <c r="C439" s="187">
        <v>1571500133985</v>
      </c>
      <c r="D439" s="188" t="s">
        <v>121</v>
      </c>
      <c r="E439" s="185" t="s">
        <v>627</v>
      </c>
      <c r="F439" s="185" t="s">
        <v>151</v>
      </c>
      <c r="G439" s="184"/>
      <c r="H439" s="185"/>
      <c r="I439" s="185"/>
      <c r="J439" s="185"/>
      <c r="K439" s="185"/>
      <c r="L439" s="185"/>
    </row>
    <row r="440" spans="1:12" ht="19.5" customHeight="1" x14ac:dyDescent="0.2">
      <c r="A440" s="181">
        <v>24</v>
      </c>
      <c r="B440" s="181">
        <v>2874</v>
      </c>
      <c r="C440" s="182">
        <v>1571500135864</v>
      </c>
      <c r="D440" s="183" t="s">
        <v>121</v>
      </c>
      <c r="E440" s="183" t="s">
        <v>628</v>
      </c>
      <c r="F440" s="183" t="s">
        <v>629</v>
      </c>
      <c r="G440" s="180"/>
      <c r="H440" s="185"/>
      <c r="I440" s="185"/>
      <c r="J440" s="185"/>
      <c r="K440" s="185"/>
      <c r="L440" s="185"/>
    </row>
    <row r="441" spans="1:12" ht="19.5" customHeight="1" x14ac:dyDescent="0.2">
      <c r="A441" s="181">
        <v>25</v>
      </c>
      <c r="B441" s="181">
        <v>2877</v>
      </c>
      <c r="C441" s="182">
        <v>1571500132962</v>
      </c>
      <c r="D441" s="183" t="s">
        <v>121</v>
      </c>
      <c r="E441" s="183" t="s">
        <v>630</v>
      </c>
      <c r="F441" s="183" t="s">
        <v>326</v>
      </c>
      <c r="G441" s="180"/>
      <c r="H441" s="185"/>
      <c r="I441" s="185"/>
      <c r="J441" s="185"/>
      <c r="K441" s="185"/>
      <c r="L441" s="185"/>
    </row>
    <row r="442" spans="1:12" ht="19.5" customHeight="1" x14ac:dyDescent="0.2">
      <c r="A442" s="181">
        <v>26</v>
      </c>
      <c r="B442" s="181">
        <v>2879</v>
      </c>
      <c r="C442" s="182">
        <v>1571500136071</v>
      </c>
      <c r="D442" s="183" t="s">
        <v>121</v>
      </c>
      <c r="E442" s="183" t="s">
        <v>631</v>
      </c>
      <c r="F442" s="183" t="s">
        <v>497</v>
      </c>
      <c r="G442" s="180"/>
      <c r="H442" s="185"/>
      <c r="I442" s="185"/>
      <c r="J442" s="185"/>
      <c r="K442" s="185"/>
      <c r="L442" s="185"/>
    </row>
    <row r="443" spans="1:12" ht="19.5" customHeight="1" x14ac:dyDescent="0.2">
      <c r="A443" s="181">
        <v>27</v>
      </c>
      <c r="B443" s="181">
        <v>2881</v>
      </c>
      <c r="C443" s="186">
        <v>1571500134060</v>
      </c>
      <c r="D443" s="183" t="s">
        <v>121</v>
      </c>
      <c r="E443" s="183" t="s">
        <v>632</v>
      </c>
      <c r="F443" s="183" t="s">
        <v>633</v>
      </c>
      <c r="G443" s="184"/>
      <c r="H443" s="185"/>
      <c r="I443" s="185"/>
      <c r="J443" s="185"/>
      <c r="K443" s="185"/>
      <c r="L443" s="185"/>
    </row>
    <row r="444" spans="1:12" ht="19.5" customHeight="1" x14ac:dyDescent="0.2">
      <c r="A444" s="181">
        <v>28</v>
      </c>
      <c r="B444" s="181">
        <v>2884</v>
      </c>
      <c r="C444" s="182">
        <v>7571500120190</v>
      </c>
      <c r="D444" s="183" t="s">
        <v>121</v>
      </c>
      <c r="E444" s="183" t="s">
        <v>487</v>
      </c>
      <c r="F444" s="183" t="s">
        <v>153</v>
      </c>
      <c r="G444" s="184"/>
      <c r="H444" s="185"/>
      <c r="I444" s="185"/>
      <c r="J444" s="185"/>
      <c r="K444" s="185"/>
      <c r="L444" s="185"/>
    </row>
    <row r="445" spans="1:12" ht="19.5" customHeight="1" x14ac:dyDescent="0.2">
      <c r="A445" s="181"/>
      <c r="B445" s="194"/>
      <c r="C445" s="195"/>
      <c r="D445" s="196"/>
      <c r="E445" s="193"/>
      <c r="F445" s="193"/>
      <c r="G445" s="185"/>
      <c r="H445" s="185"/>
      <c r="I445" s="185"/>
      <c r="J445" s="185"/>
      <c r="K445" s="185"/>
      <c r="L445" s="185"/>
    </row>
    <row r="446" spans="1:12" ht="19.5" customHeight="1" x14ac:dyDescent="0.2">
      <c r="A446" s="181"/>
      <c r="B446" s="178"/>
      <c r="C446" s="179"/>
      <c r="D446" s="188"/>
      <c r="E446" s="185"/>
      <c r="F446" s="185"/>
      <c r="G446" s="185"/>
      <c r="H446" s="185"/>
      <c r="I446" s="185"/>
      <c r="J446" s="185"/>
      <c r="K446" s="185"/>
      <c r="L446" s="185"/>
    </row>
    <row r="447" spans="1:12" ht="19.5" customHeight="1" x14ac:dyDescent="0.2">
      <c r="A447" s="181"/>
      <c r="B447" s="178"/>
      <c r="C447" s="179"/>
      <c r="D447" s="188"/>
      <c r="E447" s="185"/>
      <c r="F447" s="185"/>
      <c r="G447" s="185"/>
      <c r="H447" s="185"/>
      <c r="I447" s="185"/>
      <c r="J447" s="185"/>
      <c r="K447" s="185"/>
      <c r="L447" s="185"/>
    </row>
    <row r="448" spans="1:12" ht="19.5" customHeight="1" x14ac:dyDescent="0.2">
      <c r="A448" s="181"/>
      <c r="B448" s="178"/>
      <c r="C448" s="179"/>
      <c r="D448" s="188"/>
      <c r="E448" s="185"/>
      <c r="F448" s="185"/>
      <c r="G448" s="185"/>
      <c r="H448" s="185"/>
      <c r="I448" s="185"/>
      <c r="J448" s="185"/>
      <c r="K448" s="185"/>
      <c r="L448" s="185"/>
    </row>
    <row r="449" spans="1:12" ht="19.5" customHeight="1" x14ac:dyDescent="0.2">
      <c r="A449" s="181"/>
      <c r="B449" s="178"/>
      <c r="C449" s="179" t="s">
        <v>1066</v>
      </c>
      <c r="D449" s="188">
        <f>COUNTIF(D417:D443,"เด็กชาย")</f>
        <v>14</v>
      </c>
      <c r="E449" s="185"/>
      <c r="F449" s="185"/>
      <c r="G449" s="185"/>
      <c r="H449" s="185"/>
      <c r="I449" s="185"/>
      <c r="J449" s="185"/>
      <c r="K449" s="185"/>
      <c r="L449" s="185"/>
    </row>
    <row r="450" spans="1:12" ht="19.5" customHeight="1" x14ac:dyDescent="0.2">
      <c r="A450" s="178"/>
      <c r="B450" s="178"/>
      <c r="C450" s="179" t="s">
        <v>1067</v>
      </c>
      <c r="D450" s="188">
        <f>COUNTIF(D417:D444,"เด็กหญิง")</f>
        <v>14</v>
      </c>
      <c r="E450" s="197"/>
      <c r="F450" s="197"/>
      <c r="G450" s="178"/>
      <c r="H450" s="185"/>
      <c r="I450" s="178"/>
      <c r="J450" s="185"/>
      <c r="K450" s="178"/>
      <c r="L450" s="185"/>
    </row>
    <row r="451" spans="1:12" ht="19.5" customHeight="1" x14ac:dyDescent="0.2">
      <c r="A451" s="178"/>
      <c r="B451" s="178"/>
      <c r="C451" s="179" t="s">
        <v>38</v>
      </c>
      <c r="D451" s="188">
        <f>SUM(D449:D450)</f>
        <v>28</v>
      </c>
      <c r="E451" s="197"/>
      <c r="F451" s="178"/>
      <c r="G451" s="185"/>
      <c r="H451" s="178"/>
      <c r="I451" s="185"/>
      <c r="J451" s="178"/>
      <c r="K451" s="185"/>
      <c r="L451" s="198" t="str">
        <f>L410</f>
        <v>วันที่ 21 พ.ค. 2569</v>
      </c>
    </row>
    <row r="452" spans="1:12" ht="19.5" customHeight="1" x14ac:dyDescent="0.2">
      <c r="A452" s="263" t="s">
        <v>890</v>
      </c>
      <c r="B452" s="264"/>
      <c r="C452" s="264"/>
      <c r="D452" s="264"/>
      <c r="E452" s="264"/>
      <c r="F452" s="264"/>
      <c r="G452" s="264"/>
      <c r="H452" s="264"/>
      <c r="I452" s="264"/>
      <c r="J452" s="264"/>
      <c r="K452" s="264"/>
      <c r="L452" s="264"/>
    </row>
    <row r="453" spans="1:12" ht="19.5" customHeight="1" x14ac:dyDescent="0.2">
      <c r="A453" s="269" t="str">
        <f>A412</f>
        <v>ร่าง-รายชื่อนักเรียนปีการศึกษา 1/2569</v>
      </c>
      <c r="B453" s="269"/>
      <c r="C453" s="269"/>
      <c r="D453" s="269"/>
      <c r="E453" s="269"/>
      <c r="F453" s="269"/>
      <c r="G453" s="269"/>
      <c r="H453" s="269"/>
      <c r="I453" s="269"/>
      <c r="J453" s="269"/>
      <c r="K453" s="269"/>
      <c r="L453" s="269"/>
    </row>
    <row r="454" spans="1:12" ht="19.5" customHeight="1" x14ac:dyDescent="0.2">
      <c r="A454" s="173"/>
      <c r="B454" s="173"/>
      <c r="C454" s="173"/>
      <c r="D454" s="173"/>
      <c r="E454" s="173"/>
      <c r="F454" s="173"/>
      <c r="G454" s="173"/>
      <c r="H454" s="173"/>
      <c r="I454" s="173"/>
      <c r="J454" s="173"/>
      <c r="K454" s="173"/>
      <c r="L454" s="173"/>
    </row>
    <row r="455" spans="1:12" ht="19.5" customHeight="1" x14ac:dyDescent="0.2">
      <c r="A455" s="267" t="s">
        <v>913</v>
      </c>
      <c r="B455" s="267"/>
      <c r="C455" s="267"/>
      <c r="D455" s="268" t="s">
        <v>1022</v>
      </c>
      <c r="E455" s="268"/>
      <c r="F455" s="268"/>
      <c r="G455" s="268"/>
      <c r="H455" s="268"/>
      <c r="I455" s="268"/>
      <c r="J455" s="268"/>
      <c r="K455" s="268"/>
      <c r="L455" s="268"/>
    </row>
    <row r="456" spans="1:12" ht="19.5" customHeight="1" x14ac:dyDescent="0.2">
      <c r="A456" s="175"/>
      <c r="B456" s="175"/>
      <c r="C456" s="176"/>
      <c r="D456" s="174"/>
      <c r="E456" s="174"/>
      <c r="F456" s="177"/>
      <c r="G456" s="175"/>
      <c r="H456" s="175"/>
      <c r="I456" s="175"/>
      <c r="J456" s="175"/>
      <c r="K456" s="175"/>
      <c r="L456" s="175"/>
    </row>
    <row r="457" spans="1:12" ht="19.5" customHeight="1" x14ac:dyDescent="0.2">
      <c r="A457" s="178" t="s">
        <v>43</v>
      </c>
      <c r="B457" s="178" t="s">
        <v>44</v>
      </c>
      <c r="C457" s="179" t="s">
        <v>45</v>
      </c>
      <c r="D457" s="265" t="s">
        <v>892</v>
      </c>
      <c r="E457" s="266"/>
      <c r="F457" s="266"/>
      <c r="G457" s="180"/>
      <c r="H457" s="180"/>
      <c r="I457" s="180"/>
      <c r="J457" s="180"/>
      <c r="K457" s="180"/>
      <c r="L457" s="180"/>
    </row>
    <row r="458" spans="1:12" ht="19.5" customHeight="1" x14ac:dyDescent="0.2">
      <c r="A458" s="181">
        <v>1</v>
      </c>
      <c r="B458" s="181">
        <v>2825</v>
      </c>
      <c r="C458" s="182">
        <v>1579901769161</v>
      </c>
      <c r="D458" s="183" t="s">
        <v>101</v>
      </c>
      <c r="E458" s="183" t="s">
        <v>634</v>
      </c>
      <c r="F458" s="183" t="s">
        <v>164</v>
      </c>
      <c r="G458" s="184"/>
      <c r="H458" s="185"/>
      <c r="I458" s="185"/>
      <c r="J458" s="185"/>
      <c r="K458" s="185"/>
      <c r="L458" s="185"/>
    </row>
    <row r="459" spans="1:12" ht="19.5" customHeight="1" x14ac:dyDescent="0.2">
      <c r="A459" s="181">
        <v>2</v>
      </c>
      <c r="B459" s="181">
        <v>2894</v>
      </c>
      <c r="C459" s="182">
        <v>571500037741</v>
      </c>
      <c r="D459" s="183" t="s">
        <v>101</v>
      </c>
      <c r="E459" s="183" t="s">
        <v>635</v>
      </c>
      <c r="F459" s="183" t="s">
        <v>575</v>
      </c>
      <c r="G459" s="180"/>
      <c r="H459" s="185"/>
      <c r="I459" s="185"/>
      <c r="J459" s="185"/>
      <c r="K459" s="185"/>
      <c r="L459" s="185"/>
    </row>
    <row r="460" spans="1:12" ht="19.5" customHeight="1" x14ac:dyDescent="0.2">
      <c r="A460" s="181">
        <v>3</v>
      </c>
      <c r="B460" s="181">
        <v>2829</v>
      </c>
      <c r="C460" s="182">
        <v>571500038186</v>
      </c>
      <c r="D460" s="183" t="s">
        <v>101</v>
      </c>
      <c r="E460" s="183" t="s">
        <v>636</v>
      </c>
      <c r="F460" s="183" t="s">
        <v>103</v>
      </c>
      <c r="G460" s="180"/>
      <c r="H460" s="185"/>
      <c r="I460" s="185"/>
      <c r="J460" s="185"/>
      <c r="K460" s="185"/>
      <c r="L460" s="185"/>
    </row>
    <row r="461" spans="1:12" ht="19.5" customHeight="1" x14ac:dyDescent="0.2">
      <c r="A461" s="181">
        <v>4</v>
      </c>
      <c r="B461" s="181">
        <v>2834</v>
      </c>
      <c r="C461" s="186">
        <v>1571500135384</v>
      </c>
      <c r="D461" s="183" t="s">
        <v>101</v>
      </c>
      <c r="E461" s="183" t="s">
        <v>637</v>
      </c>
      <c r="F461" s="183" t="s">
        <v>359</v>
      </c>
      <c r="G461" s="180"/>
      <c r="H461" s="185"/>
      <c r="I461" s="185"/>
      <c r="J461" s="185"/>
      <c r="K461" s="185"/>
      <c r="L461" s="185"/>
    </row>
    <row r="462" spans="1:12" ht="19.5" customHeight="1" x14ac:dyDescent="0.2">
      <c r="A462" s="181">
        <v>5</v>
      </c>
      <c r="B462" s="181">
        <v>2835</v>
      </c>
      <c r="C462" s="182">
        <v>7571500119906</v>
      </c>
      <c r="D462" s="183" t="s">
        <v>101</v>
      </c>
      <c r="E462" s="183" t="s">
        <v>638</v>
      </c>
      <c r="F462" s="183" t="s">
        <v>103</v>
      </c>
      <c r="G462" s="180"/>
      <c r="H462" s="185"/>
      <c r="I462" s="185"/>
      <c r="J462" s="185"/>
      <c r="K462" s="185"/>
      <c r="L462" s="185"/>
    </row>
    <row r="463" spans="1:12" ht="19.5" customHeight="1" x14ac:dyDescent="0.2">
      <c r="A463" s="181">
        <v>6</v>
      </c>
      <c r="B463" s="181">
        <v>3011</v>
      </c>
      <c r="C463" s="182">
        <v>1571500133225</v>
      </c>
      <c r="D463" s="183" t="s">
        <v>101</v>
      </c>
      <c r="E463" s="183" t="s">
        <v>639</v>
      </c>
      <c r="F463" s="183" t="s">
        <v>158</v>
      </c>
      <c r="G463" s="180"/>
      <c r="H463" s="185"/>
      <c r="I463" s="185"/>
      <c r="J463" s="185"/>
      <c r="K463" s="185"/>
      <c r="L463" s="185"/>
    </row>
    <row r="464" spans="1:12" ht="19.5" customHeight="1" x14ac:dyDescent="0.2">
      <c r="A464" s="181">
        <v>7</v>
      </c>
      <c r="B464" s="181">
        <v>2911</v>
      </c>
      <c r="C464" s="186">
        <v>571500038071</v>
      </c>
      <c r="D464" s="183" t="s">
        <v>101</v>
      </c>
      <c r="E464" s="183" t="s">
        <v>640</v>
      </c>
      <c r="F464" s="183" t="s">
        <v>103</v>
      </c>
      <c r="G464" s="180"/>
      <c r="H464" s="185"/>
      <c r="I464" s="185"/>
      <c r="J464" s="185"/>
      <c r="K464" s="185"/>
      <c r="L464" s="185"/>
    </row>
    <row r="465" spans="1:12" ht="19.5" customHeight="1" x14ac:dyDescent="0.2">
      <c r="A465" s="181">
        <v>8</v>
      </c>
      <c r="B465" s="181">
        <v>2839</v>
      </c>
      <c r="C465" s="187" t="s">
        <v>641</v>
      </c>
      <c r="D465" s="188" t="s">
        <v>101</v>
      </c>
      <c r="E465" s="185" t="s">
        <v>642</v>
      </c>
      <c r="F465" s="185" t="s">
        <v>103</v>
      </c>
      <c r="G465" s="180"/>
      <c r="H465" s="185"/>
      <c r="I465" s="185"/>
      <c r="J465" s="185"/>
      <c r="K465" s="185"/>
      <c r="L465" s="185"/>
    </row>
    <row r="466" spans="1:12" ht="19.5" customHeight="1" x14ac:dyDescent="0.2">
      <c r="A466" s="181">
        <v>9</v>
      </c>
      <c r="B466" s="181">
        <v>2841</v>
      </c>
      <c r="C466" s="186">
        <v>7571500119752</v>
      </c>
      <c r="D466" s="183" t="s">
        <v>101</v>
      </c>
      <c r="E466" s="183" t="s">
        <v>643</v>
      </c>
      <c r="F466" s="183" t="s">
        <v>103</v>
      </c>
      <c r="G466" s="180"/>
      <c r="H466" s="185"/>
      <c r="I466" s="185"/>
      <c r="J466" s="185"/>
      <c r="K466" s="185"/>
      <c r="L466" s="185"/>
    </row>
    <row r="467" spans="1:12" ht="19.5" customHeight="1" x14ac:dyDescent="0.2">
      <c r="A467" s="181">
        <v>10</v>
      </c>
      <c r="B467" s="181">
        <v>2844</v>
      </c>
      <c r="C467" s="182">
        <v>1579901741126</v>
      </c>
      <c r="D467" s="183" t="s">
        <v>101</v>
      </c>
      <c r="E467" s="183" t="s">
        <v>644</v>
      </c>
      <c r="F467" s="183" t="s">
        <v>645</v>
      </c>
      <c r="G467" s="180"/>
      <c r="H467" s="185"/>
      <c r="I467" s="185"/>
      <c r="J467" s="185"/>
      <c r="K467" s="185"/>
      <c r="L467" s="185"/>
    </row>
    <row r="468" spans="1:12" ht="19.5" customHeight="1" x14ac:dyDescent="0.2">
      <c r="A468" s="181">
        <v>11</v>
      </c>
      <c r="B468" s="181">
        <v>2846</v>
      </c>
      <c r="C468" s="182">
        <v>1571500132806</v>
      </c>
      <c r="D468" s="183" t="s">
        <v>101</v>
      </c>
      <c r="E468" s="183" t="s">
        <v>646</v>
      </c>
      <c r="F468" s="183" t="s">
        <v>647</v>
      </c>
      <c r="G468" s="180"/>
      <c r="H468" s="185"/>
      <c r="I468" s="185"/>
      <c r="J468" s="185"/>
      <c r="K468" s="185"/>
      <c r="L468" s="185"/>
    </row>
    <row r="469" spans="1:12" ht="19.5" customHeight="1" x14ac:dyDescent="0.2">
      <c r="A469" s="181">
        <v>12</v>
      </c>
      <c r="B469" s="181">
        <v>2847</v>
      </c>
      <c r="C469" s="182">
        <v>1571500134205</v>
      </c>
      <c r="D469" s="183" t="s">
        <v>101</v>
      </c>
      <c r="E469" s="183" t="s">
        <v>496</v>
      </c>
      <c r="F469" s="183" t="s">
        <v>648</v>
      </c>
      <c r="G469" s="180"/>
      <c r="H469" s="185"/>
      <c r="I469" s="185"/>
      <c r="J469" s="185"/>
      <c r="K469" s="185"/>
      <c r="L469" s="185"/>
    </row>
    <row r="470" spans="1:12" ht="19.5" customHeight="1" x14ac:dyDescent="0.2">
      <c r="A470" s="181">
        <v>13</v>
      </c>
      <c r="B470" s="181">
        <v>2849</v>
      </c>
      <c r="C470" s="182">
        <v>7571500120084</v>
      </c>
      <c r="D470" s="183" t="s">
        <v>101</v>
      </c>
      <c r="E470" s="183" t="s">
        <v>649</v>
      </c>
      <c r="F470" s="183" t="s">
        <v>103</v>
      </c>
      <c r="G470" s="180"/>
      <c r="H470" s="185"/>
      <c r="I470" s="185"/>
      <c r="J470" s="185"/>
      <c r="K470" s="185"/>
      <c r="L470" s="185"/>
    </row>
    <row r="471" spans="1:12" ht="19.5" customHeight="1" x14ac:dyDescent="0.2">
      <c r="A471" s="181">
        <v>14</v>
      </c>
      <c r="B471" s="181">
        <v>2840</v>
      </c>
      <c r="C471" s="182">
        <v>571500037953</v>
      </c>
      <c r="D471" s="183" t="s">
        <v>101</v>
      </c>
      <c r="E471" s="183" t="s">
        <v>650</v>
      </c>
      <c r="F471" s="183" t="s">
        <v>103</v>
      </c>
      <c r="G471" s="180"/>
      <c r="H471" s="185"/>
      <c r="I471" s="185"/>
      <c r="J471" s="185"/>
      <c r="K471" s="185"/>
      <c r="L471" s="185"/>
    </row>
    <row r="472" spans="1:12" ht="19.5" customHeight="1" x14ac:dyDescent="0.2">
      <c r="A472" s="181">
        <v>15</v>
      </c>
      <c r="B472" s="181">
        <v>2854</v>
      </c>
      <c r="C472" s="182">
        <v>1571500133250</v>
      </c>
      <c r="D472" s="183" t="s">
        <v>121</v>
      </c>
      <c r="E472" s="183" t="s">
        <v>651</v>
      </c>
      <c r="F472" s="183" t="s">
        <v>652</v>
      </c>
      <c r="G472" s="180"/>
      <c r="H472" s="185"/>
      <c r="I472" s="185"/>
      <c r="J472" s="185"/>
      <c r="K472" s="185"/>
      <c r="L472" s="185"/>
    </row>
    <row r="473" spans="1:12" ht="19.5" customHeight="1" x14ac:dyDescent="0.2">
      <c r="A473" s="181">
        <v>16</v>
      </c>
      <c r="B473" s="181">
        <v>2860</v>
      </c>
      <c r="C473" s="182">
        <v>571500003471</v>
      </c>
      <c r="D473" s="183" t="s">
        <v>121</v>
      </c>
      <c r="E473" s="183" t="s">
        <v>653</v>
      </c>
      <c r="F473" s="183" t="s">
        <v>143</v>
      </c>
      <c r="G473" s="180"/>
      <c r="H473" s="185"/>
      <c r="I473" s="185"/>
      <c r="J473" s="185"/>
      <c r="K473" s="185"/>
      <c r="L473" s="185"/>
    </row>
    <row r="474" spans="1:12" ht="19.5" customHeight="1" x14ac:dyDescent="0.2">
      <c r="A474" s="181">
        <v>17</v>
      </c>
      <c r="B474" s="181">
        <v>2866</v>
      </c>
      <c r="C474" s="182">
        <v>1571500132920</v>
      </c>
      <c r="D474" s="183" t="s">
        <v>121</v>
      </c>
      <c r="E474" s="183" t="s">
        <v>654</v>
      </c>
      <c r="F474" s="183" t="s">
        <v>362</v>
      </c>
      <c r="G474" s="180"/>
      <c r="H474" s="185"/>
      <c r="I474" s="185"/>
      <c r="J474" s="185"/>
      <c r="K474" s="185"/>
      <c r="L474" s="185"/>
    </row>
    <row r="475" spans="1:12" ht="19.5" customHeight="1" x14ac:dyDescent="0.2">
      <c r="A475" s="181">
        <v>18</v>
      </c>
      <c r="B475" s="181">
        <v>2868</v>
      </c>
      <c r="C475" s="182">
        <v>571500037821</v>
      </c>
      <c r="D475" s="183" t="s">
        <v>121</v>
      </c>
      <c r="E475" s="183" t="s">
        <v>655</v>
      </c>
      <c r="F475" s="183" t="s">
        <v>103</v>
      </c>
      <c r="G475" s="180"/>
      <c r="H475" s="185"/>
      <c r="I475" s="185"/>
      <c r="J475" s="185"/>
      <c r="K475" s="185"/>
      <c r="L475" s="185"/>
    </row>
    <row r="476" spans="1:12" ht="19.5" customHeight="1" x14ac:dyDescent="0.2">
      <c r="A476" s="181">
        <v>19</v>
      </c>
      <c r="B476" s="181">
        <v>2869</v>
      </c>
      <c r="C476" s="182">
        <v>1571500135911</v>
      </c>
      <c r="D476" s="183" t="s">
        <v>121</v>
      </c>
      <c r="E476" s="183" t="s">
        <v>656</v>
      </c>
      <c r="F476" s="183" t="s">
        <v>134</v>
      </c>
      <c r="G476" s="180"/>
      <c r="H476" s="185"/>
      <c r="I476" s="185"/>
      <c r="J476" s="185"/>
      <c r="K476" s="185"/>
      <c r="L476" s="185"/>
    </row>
    <row r="477" spans="1:12" ht="19.5" customHeight="1" x14ac:dyDescent="0.2">
      <c r="A477" s="181">
        <v>20</v>
      </c>
      <c r="B477" s="181">
        <v>2870</v>
      </c>
      <c r="C477" s="191">
        <v>571500003595</v>
      </c>
      <c r="D477" s="192" t="s">
        <v>121</v>
      </c>
      <c r="E477" s="193" t="s">
        <v>657</v>
      </c>
      <c r="F477" s="193" t="s">
        <v>482</v>
      </c>
      <c r="G477" s="184"/>
      <c r="H477" s="185"/>
      <c r="I477" s="185"/>
      <c r="J477" s="185"/>
      <c r="K477" s="185"/>
      <c r="L477" s="185"/>
    </row>
    <row r="478" spans="1:12" ht="19.5" customHeight="1" x14ac:dyDescent="0.2">
      <c r="A478" s="181">
        <v>21</v>
      </c>
      <c r="B478" s="181">
        <v>2876</v>
      </c>
      <c r="C478" s="182">
        <v>571500037724</v>
      </c>
      <c r="D478" s="183" t="s">
        <v>121</v>
      </c>
      <c r="E478" s="183" t="s">
        <v>275</v>
      </c>
      <c r="F478" s="183" t="s">
        <v>103</v>
      </c>
      <c r="G478" s="180"/>
      <c r="H478" s="185"/>
      <c r="I478" s="185"/>
      <c r="J478" s="185"/>
      <c r="K478" s="185"/>
      <c r="L478" s="185"/>
    </row>
    <row r="479" spans="1:12" ht="19.5" customHeight="1" x14ac:dyDescent="0.2">
      <c r="A479" s="181">
        <v>22</v>
      </c>
      <c r="B479" s="181">
        <v>2878</v>
      </c>
      <c r="C479" s="182">
        <v>1578800105878</v>
      </c>
      <c r="D479" s="183" t="s">
        <v>121</v>
      </c>
      <c r="E479" s="183" t="s">
        <v>658</v>
      </c>
      <c r="F479" s="183" t="s">
        <v>242</v>
      </c>
      <c r="G479" s="180"/>
      <c r="H479" s="185"/>
      <c r="I479" s="185"/>
      <c r="J479" s="185"/>
      <c r="K479" s="185"/>
      <c r="L479" s="185"/>
    </row>
    <row r="480" spans="1:12" ht="19.5" customHeight="1" x14ac:dyDescent="0.2">
      <c r="A480" s="181">
        <v>23</v>
      </c>
      <c r="B480" s="178">
        <v>2880</v>
      </c>
      <c r="C480" s="187">
        <v>1571500134973</v>
      </c>
      <c r="D480" s="188" t="s">
        <v>121</v>
      </c>
      <c r="E480" s="185" t="s">
        <v>276</v>
      </c>
      <c r="F480" s="185" t="s">
        <v>370</v>
      </c>
      <c r="G480" s="184"/>
      <c r="H480" s="185"/>
      <c r="I480" s="185"/>
      <c r="J480" s="185"/>
      <c r="K480" s="185"/>
      <c r="L480" s="185"/>
    </row>
    <row r="481" spans="1:12" ht="19.5" customHeight="1" x14ac:dyDescent="0.2">
      <c r="A481" s="181">
        <v>24</v>
      </c>
      <c r="B481" s="181">
        <v>3096</v>
      </c>
      <c r="C481" s="182">
        <v>1571500134159</v>
      </c>
      <c r="D481" s="183" t="s">
        <v>121</v>
      </c>
      <c r="E481" s="183" t="s">
        <v>632</v>
      </c>
      <c r="F481" s="183" t="s">
        <v>659</v>
      </c>
      <c r="G481" s="180"/>
      <c r="H481" s="185"/>
      <c r="I481" s="185"/>
      <c r="J481" s="185"/>
      <c r="K481" s="185"/>
      <c r="L481" s="185"/>
    </row>
    <row r="482" spans="1:12" ht="19.5" customHeight="1" x14ac:dyDescent="0.2">
      <c r="A482" s="181">
        <v>25</v>
      </c>
      <c r="B482" s="181">
        <v>2882</v>
      </c>
      <c r="C482" s="182">
        <v>571000002115</v>
      </c>
      <c r="D482" s="183" t="s">
        <v>121</v>
      </c>
      <c r="E482" s="183" t="s">
        <v>660</v>
      </c>
      <c r="F482" s="183" t="s">
        <v>661</v>
      </c>
      <c r="G482" s="180"/>
      <c r="H482" s="185"/>
      <c r="I482" s="185"/>
      <c r="J482" s="185"/>
      <c r="K482" s="185"/>
      <c r="L482" s="185"/>
    </row>
    <row r="483" spans="1:12" ht="19.5" customHeight="1" x14ac:dyDescent="0.2">
      <c r="A483" s="181">
        <v>26</v>
      </c>
      <c r="B483" s="181">
        <v>2885</v>
      </c>
      <c r="C483" s="182">
        <v>7571500120220</v>
      </c>
      <c r="D483" s="183" t="s">
        <v>121</v>
      </c>
      <c r="E483" s="183" t="s">
        <v>663</v>
      </c>
      <c r="F483" s="183" t="s">
        <v>103</v>
      </c>
      <c r="G483" s="180"/>
      <c r="H483" s="185"/>
      <c r="I483" s="185"/>
      <c r="J483" s="185"/>
      <c r="K483" s="185"/>
      <c r="L483" s="185"/>
    </row>
    <row r="484" spans="1:12" ht="19.5" customHeight="1" x14ac:dyDescent="0.2">
      <c r="A484" s="181">
        <v>27</v>
      </c>
      <c r="B484" s="181">
        <v>2886</v>
      </c>
      <c r="C484" s="186" t="s">
        <v>664</v>
      </c>
      <c r="D484" s="183" t="s">
        <v>121</v>
      </c>
      <c r="E484" s="183" t="s">
        <v>665</v>
      </c>
      <c r="F484" s="183" t="s">
        <v>103</v>
      </c>
      <c r="G484" s="184"/>
      <c r="H484" s="185"/>
      <c r="I484" s="185"/>
      <c r="J484" s="185"/>
      <c r="K484" s="185"/>
      <c r="L484" s="185"/>
    </row>
    <row r="485" spans="1:12" ht="19.5" customHeight="1" x14ac:dyDescent="0.2">
      <c r="A485" s="181"/>
      <c r="B485" s="181"/>
      <c r="C485" s="182"/>
      <c r="D485" s="183"/>
      <c r="E485" s="183"/>
      <c r="F485" s="183"/>
      <c r="G485" s="184"/>
      <c r="H485" s="185"/>
      <c r="I485" s="185"/>
      <c r="J485" s="185"/>
      <c r="K485" s="185"/>
      <c r="L485" s="185"/>
    </row>
    <row r="486" spans="1:12" ht="19.5" customHeight="1" x14ac:dyDescent="0.2">
      <c r="A486" s="181"/>
      <c r="B486" s="194"/>
      <c r="C486" s="195"/>
      <c r="D486" s="196"/>
      <c r="E486" s="193"/>
      <c r="F486" s="193"/>
      <c r="G486" s="185"/>
      <c r="H486" s="185"/>
      <c r="I486" s="185"/>
      <c r="J486" s="185"/>
      <c r="K486" s="185"/>
      <c r="L486" s="185"/>
    </row>
    <row r="487" spans="1:12" ht="19.5" customHeight="1" x14ac:dyDescent="0.2">
      <c r="A487" s="181"/>
      <c r="B487" s="178"/>
      <c r="C487" s="179"/>
      <c r="D487" s="188"/>
      <c r="E487" s="185"/>
      <c r="F487" s="185"/>
      <c r="G487" s="185"/>
      <c r="H487" s="185"/>
      <c r="I487" s="185"/>
      <c r="J487" s="185"/>
      <c r="K487" s="185"/>
      <c r="L487" s="185"/>
    </row>
    <row r="488" spans="1:12" ht="19.5" customHeight="1" x14ac:dyDescent="0.2">
      <c r="A488" s="181"/>
      <c r="B488" s="178"/>
      <c r="C488" s="179"/>
      <c r="D488" s="188"/>
      <c r="E488" s="185"/>
      <c r="F488" s="185"/>
      <c r="G488" s="185"/>
      <c r="H488" s="185"/>
      <c r="I488" s="185"/>
      <c r="J488" s="185"/>
      <c r="K488" s="185"/>
      <c r="L488" s="185"/>
    </row>
    <row r="489" spans="1:12" ht="19.5" customHeight="1" x14ac:dyDescent="0.2">
      <c r="A489" s="181"/>
      <c r="B489" s="178"/>
      <c r="C489" s="179"/>
      <c r="D489" s="188"/>
      <c r="E489" s="185"/>
      <c r="F489" s="185"/>
      <c r="G489" s="185"/>
      <c r="H489" s="185"/>
      <c r="I489" s="185"/>
      <c r="J489" s="185"/>
      <c r="K489" s="185"/>
      <c r="L489" s="185"/>
    </row>
    <row r="490" spans="1:12" ht="19.5" customHeight="1" x14ac:dyDescent="0.2">
      <c r="A490" s="181"/>
      <c r="B490" s="178"/>
      <c r="C490" s="179" t="s">
        <v>1066</v>
      </c>
      <c r="D490" s="188">
        <f>COUNTIF(D458:D484,"เด็กชาย")</f>
        <v>14</v>
      </c>
      <c r="E490" s="185"/>
      <c r="F490" s="185"/>
      <c r="G490" s="185"/>
      <c r="H490" s="185"/>
      <c r="I490" s="185"/>
      <c r="J490" s="185"/>
      <c r="K490" s="185"/>
      <c r="L490" s="185"/>
    </row>
    <row r="491" spans="1:12" ht="19.5" customHeight="1" x14ac:dyDescent="0.2">
      <c r="A491" s="178"/>
      <c r="B491" s="178"/>
      <c r="C491" s="179" t="s">
        <v>1067</v>
      </c>
      <c r="D491" s="188">
        <f>COUNTIF(D458:D484,"เด็กหญิง")</f>
        <v>13</v>
      </c>
      <c r="E491" s="197"/>
      <c r="F491" s="197"/>
      <c r="G491" s="178"/>
      <c r="H491" s="185"/>
      <c r="I491" s="178"/>
      <c r="J491" s="185"/>
      <c r="K491" s="178"/>
      <c r="L491" s="185"/>
    </row>
    <row r="492" spans="1:12" ht="19.5" customHeight="1" x14ac:dyDescent="0.2">
      <c r="A492" s="178"/>
      <c r="B492" s="178"/>
      <c r="C492" s="179" t="s">
        <v>38</v>
      </c>
      <c r="D492" s="188">
        <f>SUM(D490:D491)</f>
        <v>27</v>
      </c>
      <c r="E492" s="197"/>
      <c r="F492" s="178"/>
      <c r="G492" s="185"/>
      <c r="H492" s="178"/>
      <c r="I492" s="185"/>
      <c r="J492" s="178"/>
      <c r="K492" s="185"/>
      <c r="L492" s="198" t="str">
        <f>L451</f>
        <v>วันที่ 21 พ.ค. 2569</v>
      </c>
    </row>
    <row r="493" spans="1:12" ht="19.5" customHeight="1" x14ac:dyDescent="0.2">
      <c r="A493" s="263" t="s">
        <v>890</v>
      </c>
      <c r="B493" s="264"/>
      <c r="C493" s="264"/>
      <c r="D493" s="264"/>
      <c r="E493" s="264"/>
      <c r="F493" s="264"/>
      <c r="G493" s="264"/>
      <c r="H493" s="264"/>
      <c r="I493" s="264"/>
      <c r="J493" s="264"/>
      <c r="K493" s="264"/>
      <c r="L493" s="264"/>
    </row>
    <row r="494" spans="1:12" ht="19.5" customHeight="1" x14ac:dyDescent="0.2">
      <c r="A494" s="269" t="str">
        <f>A453</f>
        <v>ร่าง-รายชื่อนักเรียนปีการศึกษา 1/2569</v>
      </c>
      <c r="B494" s="269"/>
      <c r="C494" s="269"/>
      <c r="D494" s="269"/>
      <c r="E494" s="269"/>
      <c r="F494" s="269"/>
      <c r="G494" s="269"/>
      <c r="H494" s="269"/>
      <c r="I494" s="269"/>
      <c r="J494" s="269"/>
      <c r="K494" s="269"/>
      <c r="L494" s="269"/>
    </row>
    <row r="495" spans="1:12" ht="19.5" customHeight="1" x14ac:dyDescent="0.2">
      <c r="A495" s="173"/>
      <c r="B495" s="173"/>
      <c r="C495" s="173"/>
      <c r="D495" s="173"/>
      <c r="E495" s="173"/>
      <c r="F495" s="173"/>
      <c r="G495" s="173"/>
      <c r="H495" s="173"/>
      <c r="I495" s="173"/>
      <c r="J495" s="173"/>
      <c r="K495" s="173"/>
      <c r="L495" s="173"/>
    </row>
    <row r="496" spans="1:12" ht="19.5" customHeight="1" x14ac:dyDescent="0.2">
      <c r="A496" s="267" t="s">
        <v>911</v>
      </c>
      <c r="B496" s="267"/>
      <c r="C496" s="267"/>
      <c r="D496" s="268" t="s">
        <v>1023</v>
      </c>
      <c r="E496" s="268"/>
      <c r="F496" s="268"/>
      <c r="G496" s="268"/>
      <c r="H496" s="268"/>
      <c r="I496" s="268"/>
      <c r="J496" s="268"/>
      <c r="K496" s="268"/>
      <c r="L496" s="268"/>
    </row>
    <row r="497" spans="1:12" ht="19.5" customHeight="1" x14ac:dyDescent="0.2">
      <c r="A497" s="175"/>
      <c r="B497" s="175"/>
      <c r="C497" s="176"/>
      <c r="D497" s="174"/>
      <c r="E497" s="174"/>
      <c r="F497" s="177"/>
      <c r="G497" s="175"/>
      <c r="H497" s="175"/>
      <c r="I497" s="175"/>
      <c r="J497" s="175"/>
      <c r="K497" s="175"/>
      <c r="L497" s="175"/>
    </row>
    <row r="498" spans="1:12" ht="19.5" customHeight="1" x14ac:dyDescent="0.2">
      <c r="A498" s="178" t="s">
        <v>43</v>
      </c>
      <c r="B498" s="178" t="s">
        <v>44</v>
      </c>
      <c r="C498" s="179" t="s">
        <v>45</v>
      </c>
      <c r="D498" s="265" t="s">
        <v>892</v>
      </c>
      <c r="E498" s="266"/>
      <c r="F498" s="266"/>
      <c r="G498" s="180"/>
      <c r="H498" s="180"/>
      <c r="I498" s="180"/>
      <c r="J498" s="180"/>
      <c r="K498" s="180"/>
      <c r="L498" s="180"/>
    </row>
    <row r="499" spans="1:12" ht="19.5" customHeight="1" x14ac:dyDescent="0.2">
      <c r="A499" s="181">
        <v>1</v>
      </c>
      <c r="B499" s="181">
        <v>2760</v>
      </c>
      <c r="C499" s="182">
        <v>1571500130609</v>
      </c>
      <c r="D499" s="183" t="s">
        <v>101</v>
      </c>
      <c r="E499" s="183" t="s">
        <v>666</v>
      </c>
      <c r="F499" s="183" t="s">
        <v>540</v>
      </c>
      <c r="G499" s="184"/>
      <c r="H499" s="185"/>
      <c r="I499" s="185"/>
      <c r="J499" s="185"/>
      <c r="K499" s="185"/>
      <c r="L499" s="185"/>
    </row>
    <row r="500" spans="1:12" ht="19.5" customHeight="1" x14ac:dyDescent="0.2">
      <c r="A500" s="181">
        <v>2</v>
      </c>
      <c r="B500" s="181">
        <v>2684</v>
      </c>
      <c r="C500" s="182">
        <v>7571500118802</v>
      </c>
      <c r="D500" s="183" t="s">
        <v>101</v>
      </c>
      <c r="E500" s="183" t="s">
        <v>667</v>
      </c>
      <c r="F500" s="183" t="s">
        <v>158</v>
      </c>
      <c r="G500" s="180"/>
      <c r="H500" s="185"/>
      <c r="I500" s="185"/>
      <c r="J500" s="185"/>
      <c r="K500" s="185"/>
      <c r="L500" s="185"/>
    </row>
    <row r="501" spans="1:12" ht="19.5" customHeight="1" x14ac:dyDescent="0.2">
      <c r="A501" s="181">
        <v>3</v>
      </c>
      <c r="B501" s="181">
        <v>2763</v>
      </c>
      <c r="C501" s="182">
        <v>571500037813</v>
      </c>
      <c r="D501" s="183" t="s">
        <v>101</v>
      </c>
      <c r="E501" s="183" t="s">
        <v>668</v>
      </c>
      <c r="F501" s="183" t="s">
        <v>103</v>
      </c>
      <c r="G501" s="180"/>
      <c r="H501" s="185"/>
      <c r="I501" s="185"/>
      <c r="J501" s="185"/>
      <c r="K501" s="185"/>
      <c r="L501" s="185"/>
    </row>
    <row r="502" spans="1:12" ht="19.5" customHeight="1" x14ac:dyDescent="0.2">
      <c r="A502" s="181">
        <v>4</v>
      </c>
      <c r="B502" s="181">
        <v>2765</v>
      </c>
      <c r="C502" s="186">
        <v>571500037805</v>
      </c>
      <c r="D502" s="183" t="s">
        <v>101</v>
      </c>
      <c r="E502" s="183" t="s">
        <v>669</v>
      </c>
      <c r="F502" s="183" t="s">
        <v>103</v>
      </c>
      <c r="G502" s="180"/>
      <c r="H502" s="185"/>
      <c r="I502" s="185"/>
      <c r="J502" s="185"/>
      <c r="K502" s="185"/>
      <c r="L502" s="185"/>
    </row>
    <row r="503" spans="1:12" ht="19.5" customHeight="1" x14ac:dyDescent="0.2">
      <c r="A503" s="181">
        <v>5</v>
      </c>
      <c r="B503" s="181">
        <v>2766</v>
      </c>
      <c r="C503" s="182">
        <v>571500037856</v>
      </c>
      <c r="D503" s="183" t="s">
        <v>101</v>
      </c>
      <c r="E503" s="183" t="s">
        <v>219</v>
      </c>
      <c r="F503" s="183" t="s">
        <v>103</v>
      </c>
      <c r="G503" s="180"/>
      <c r="H503" s="185"/>
      <c r="I503" s="185"/>
      <c r="J503" s="185"/>
      <c r="K503" s="185"/>
      <c r="L503" s="185"/>
    </row>
    <row r="504" spans="1:12" ht="19.5" customHeight="1" x14ac:dyDescent="0.2">
      <c r="A504" s="181">
        <v>6</v>
      </c>
      <c r="B504" s="181">
        <v>2768</v>
      </c>
      <c r="C504" s="182">
        <v>7571500119060</v>
      </c>
      <c r="D504" s="183" t="s">
        <v>101</v>
      </c>
      <c r="E504" s="183" t="s">
        <v>670</v>
      </c>
      <c r="F504" s="183" t="s">
        <v>103</v>
      </c>
      <c r="G504" s="180"/>
      <c r="H504" s="185"/>
      <c r="I504" s="185"/>
      <c r="J504" s="185"/>
      <c r="K504" s="185"/>
      <c r="L504" s="185"/>
    </row>
    <row r="505" spans="1:12" ht="19.5" customHeight="1" x14ac:dyDescent="0.2">
      <c r="A505" s="181">
        <v>7</v>
      </c>
      <c r="B505" s="181">
        <v>2769</v>
      </c>
      <c r="C505" s="186">
        <v>1571500132296</v>
      </c>
      <c r="D505" s="183" t="s">
        <v>101</v>
      </c>
      <c r="E505" s="183" t="s">
        <v>671</v>
      </c>
      <c r="F505" s="183" t="s">
        <v>462</v>
      </c>
      <c r="G505" s="180"/>
      <c r="H505" s="185"/>
      <c r="I505" s="185"/>
      <c r="J505" s="185"/>
      <c r="K505" s="185"/>
      <c r="L505" s="185"/>
    </row>
    <row r="506" spans="1:12" ht="19.5" customHeight="1" x14ac:dyDescent="0.2">
      <c r="A506" s="181">
        <v>8</v>
      </c>
      <c r="B506" s="181">
        <v>2699</v>
      </c>
      <c r="C506" s="187">
        <v>1309904300076</v>
      </c>
      <c r="D506" s="188" t="s">
        <v>101</v>
      </c>
      <c r="E506" s="185" t="s">
        <v>672</v>
      </c>
      <c r="F506" s="185" t="s">
        <v>359</v>
      </c>
      <c r="G506" s="180"/>
      <c r="H506" s="185"/>
      <c r="I506" s="185"/>
      <c r="J506" s="185"/>
      <c r="K506" s="185"/>
      <c r="L506" s="185"/>
    </row>
    <row r="507" spans="1:12" ht="19.5" customHeight="1" x14ac:dyDescent="0.2">
      <c r="A507" s="181">
        <v>9</v>
      </c>
      <c r="B507" s="181">
        <v>2774</v>
      </c>
      <c r="C507" s="186">
        <v>1579901680003</v>
      </c>
      <c r="D507" s="183" t="s">
        <v>101</v>
      </c>
      <c r="E507" s="183" t="s">
        <v>673</v>
      </c>
      <c r="F507" s="183" t="s">
        <v>295</v>
      </c>
      <c r="G507" s="180"/>
      <c r="H507" s="185"/>
      <c r="I507" s="185"/>
      <c r="J507" s="185"/>
      <c r="K507" s="185"/>
      <c r="L507" s="185"/>
    </row>
    <row r="508" spans="1:12" ht="19.5" customHeight="1" x14ac:dyDescent="0.2">
      <c r="A508" s="181">
        <v>10</v>
      </c>
      <c r="B508" s="181">
        <v>2776</v>
      </c>
      <c r="C508" s="182">
        <v>571500037791</v>
      </c>
      <c r="D508" s="183" t="s">
        <v>101</v>
      </c>
      <c r="E508" s="183" t="s">
        <v>380</v>
      </c>
      <c r="F508" s="183" t="s">
        <v>103</v>
      </c>
      <c r="G508" s="180"/>
      <c r="H508" s="185"/>
      <c r="I508" s="185"/>
      <c r="J508" s="185"/>
      <c r="K508" s="185"/>
      <c r="L508" s="185"/>
    </row>
    <row r="509" spans="1:12" ht="19.5" customHeight="1" x14ac:dyDescent="0.2">
      <c r="A509" s="181">
        <v>11</v>
      </c>
      <c r="B509" s="181">
        <v>2780</v>
      </c>
      <c r="C509" s="182">
        <v>1571500132041</v>
      </c>
      <c r="D509" s="183" t="s">
        <v>101</v>
      </c>
      <c r="E509" s="183" t="s">
        <v>674</v>
      </c>
      <c r="F509" s="183" t="s">
        <v>570</v>
      </c>
      <c r="G509" s="180"/>
      <c r="H509" s="185"/>
      <c r="I509" s="185"/>
      <c r="J509" s="185"/>
      <c r="K509" s="185"/>
      <c r="L509" s="185"/>
    </row>
    <row r="510" spans="1:12" ht="19.5" customHeight="1" x14ac:dyDescent="0.2">
      <c r="A510" s="181">
        <v>12</v>
      </c>
      <c r="B510" s="181">
        <v>2781</v>
      </c>
      <c r="C510" s="182" t="s">
        <v>675</v>
      </c>
      <c r="D510" s="183" t="s">
        <v>101</v>
      </c>
      <c r="E510" s="183" t="s">
        <v>676</v>
      </c>
      <c r="F510" s="183" t="s">
        <v>424</v>
      </c>
      <c r="G510" s="180"/>
      <c r="H510" s="185"/>
      <c r="I510" s="185"/>
      <c r="J510" s="185"/>
      <c r="K510" s="185"/>
      <c r="L510" s="185"/>
    </row>
    <row r="511" spans="1:12" ht="19.5" customHeight="1" x14ac:dyDescent="0.2">
      <c r="A511" s="181">
        <v>13</v>
      </c>
      <c r="B511" s="181">
        <v>2783</v>
      </c>
      <c r="C511" s="182">
        <v>571500038143</v>
      </c>
      <c r="D511" s="183" t="s">
        <v>101</v>
      </c>
      <c r="E511" s="183" t="s">
        <v>502</v>
      </c>
      <c r="F511" s="183" t="s">
        <v>103</v>
      </c>
      <c r="G511" s="180"/>
      <c r="H511" s="185"/>
      <c r="I511" s="185"/>
      <c r="J511" s="185"/>
      <c r="K511" s="185"/>
      <c r="L511" s="185"/>
    </row>
    <row r="512" spans="1:12" ht="19.5" customHeight="1" x14ac:dyDescent="0.2">
      <c r="A512" s="181">
        <v>14</v>
      </c>
      <c r="B512" s="181">
        <v>2822</v>
      </c>
      <c r="C512" s="182" t="s">
        <v>678</v>
      </c>
      <c r="D512" s="183" t="s">
        <v>121</v>
      </c>
      <c r="E512" s="183" t="s">
        <v>679</v>
      </c>
      <c r="F512" s="183" t="s">
        <v>103</v>
      </c>
      <c r="G512" s="180"/>
      <c r="H512" s="185"/>
      <c r="I512" s="185"/>
      <c r="J512" s="185"/>
      <c r="K512" s="185"/>
      <c r="L512" s="185"/>
    </row>
    <row r="513" spans="1:12" ht="19.5" customHeight="1" x14ac:dyDescent="0.2">
      <c r="A513" s="181">
        <v>15</v>
      </c>
      <c r="B513" s="181">
        <v>2794</v>
      </c>
      <c r="C513" s="182">
        <v>571500031661</v>
      </c>
      <c r="D513" s="183" t="s">
        <v>121</v>
      </c>
      <c r="E513" s="183" t="s">
        <v>438</v>
      </c>
      <c r="F513" s="183" t="s">
        <v>103</v>
      </c>
      <c r="G513" s="180"/>
      <c r="H513" s="185"/>
      <c r="I513" s="185"/>
      <c r="J513" s="185"/>
      <c r="K513" s="185"/>
      <c r="L513" s="185"/>
    </row>
    <row r="514" spans="1:12" ht="19.5" customHeight="1" x14ac:dyDescent="0.2">
      <c r="A514" s="181">
        <v>16</v>
      </c>
      <c r="B514" s="181">
        <v>2796</v>
      </c>
      <c r="C514" s="182">
        <v>7571500119086</v>
      </c>
      <c r="D514" s="183" t="s">
        <v>121</v>
      </c>
      <c r="E514" s="183" t="s">
        <v>680</v>
      </c>
      <c r="F514" s="183" t="s">
        <v>681</v>
      </c>
      <c r="G514" s="180"/>
      <c r="H514" s="185"/>
      <c r="I514" s="185"/>
      <c r="J514" s="185"/>
      <c r="K514" s="185"/>
      <c r="L514" s="185"/>
    </row>
    <row r="515" spans="1:12" ht="19.5" customHeight="1" x14ac:dyDescent="0.2">
      <c r="A515" s="181">
        <v>17</v>
      </c>
      <c r="B515" s="181">
        <v>2818</v>
      </c>
      <c r="C515" s="182">
        <v>571500037899</v>
      </c>
      <c r="D515" s="183" t="s">
        <v>121</v>
      </c>
      <c r="E515" s="183" t="s">
        <v>682</v>
      </c>
      <c r="F515" s="183" t="s">
        <v>103</v>
      </c>
      <c r="G515" s="180"/>
      <c r="H515" s="185"/>
      <c r="I515" s="185"/>
      <c r="J515" s="185"/>
      <c r="K515" s="185"/>
      <c r="L515" s="185"/>
    </row>
    <row r="516" spans="1:12" ht="19.5" customHeight="1" x14ac:dyDescent="0.2">
      <c r="A516" s="181">
        <v>18</v>
      </c>
      <c r="B516" s="181">
        <v>2798</v>
      </c>
      <c r="C516" s="182">
        <v>1571500130927</v>
      </c>
      <c r="D516" s="183" t="s">
        <v>121</v>
      </c>
      <c r="E516" s="183" t="s">
        <v>683</v>
      </c>
      <c r="F516" s="183" t="s">
        <v>153</v>
      </c>
      <c r="G516" s="180"/>
      <c r="H516" s="185"/>
      <c r="I516" s="185"/>
      <c r="J516" s="185"/>
      <c r="K516" s="185"/>
      <c r="L516" s="185"/>
    </row>
    <row r="517" spans="1:12" ht="19.5" customHeight="1" x14ac:dyDescent="0.2">
      <c r="A517" s="181">
        <v>19</v>
      </c>
      <c r="B517" s="181">
        <v>2801</v>
      </c>
      <c r="C517" s="191">
        <v>571500002840</v>
      </c>
      <c r="D517" s="192" t="s">
        <v>121</v>
      </c>
      <c r="E517" s="193" t="s">
        <v>684</v>
      </c>
      <c r="F517" s="193" t="s">
        <v>685</v>
      </c>
      <c r="G517" s="180"/>
      <c r="H517" s="185"/>
      <c r="I517" s="185"/>
      <c r="J517" s="185"/>
      <c r="K517" s="185"/>
      <c r="L517" s="185"/>
    </row>
    <row r="518" spans="1:12" ht="19.5" customHeight="1" x14ac:dyDescent="0.2">
      <c r="A518" s="181">
        <v>20</v>
      </c>
      <c r="B518" s="181">
        <v>2803</v>
      </c>
      <c r="C518" s="182">
        <v>571500002891</v>
      </c>
      <c r="D518" s="183" t="s">
        <v>121</v>
      </c>
      <c r="E518" s="183" t="s">
        <v>275</v>
      </c>
      <c r="F518" s="183" t="s">
        <v>570</v>
      </c>
      <c r="G518" s="184"/>
      <c r="H518" s="185"/>
      <c r="I518" s="185"/>
      <c r="J518" s="185"/>
      <c r="K518" s="185"/>
      <c r="L518" s="185"/>
    </row>
    <row r="519" spans="1:12" ht="19.5" customHeight="1" x14ac:dyDescent="0.2">
      <c r="A519" s="181">
        <v>21</v>
      </c>
      <c r="B519" s="181">
        <v>2806</v>
      </c>
      <c r="C519" s="182" t="s">
        <v>686</v>
      </c>
      <c r="D519" s="183" t="s">
        <v>121</v>
      </c>
      <c r="E519" s="183" t="s">
        <v>522</v>
      </c>
      <c r="F519" s="183" t="s">
        <v>424</v>
      </c>
      <c r="G519" s="180"/>
      <c r="H519" s="185"/>
      <c r="I519" s="185"/>
      <c r="J519" s="185"/>
      <c r="K519" s="185"/>
      <c r="L519" s="185"/>
    </row>
    <row r="520" spans="1:12" ht="19.5" customHeight="1" x14ac:dyDescent="0.2">
      <c r="A520" s="181">
        <v>22</v>
      </c>
      <c r="B520" s="178">
        <v>2747</v>
      </c>
      <c r="C520" s="187">
        <v>578800003864</v>
      </c>
      <c r="D520" s="188" t="s">
        <v>121</v>
      </c>
      <c r="E520" s="185" t="s">
        <v>487</v>
      </c>
      <c r="F520" s="185" t="s">
        <v>687</v>
      </c>
      <c r="G520" s="180"/>
      <c r="H520" s="185"/>
      <c r="I520" s="185"/>
      <c r="J520" s="185"/>
      <c r="K520" s="185"/>
      <c r="L520" s="185"/>
    </row>
    <row r="521" spans="1:12" ht="19.5" customHeight="1" x14ac:dyDescent="0.2">
      <c r="A521" s="181">
        <v>23</v>
      </c>
      <c r="B521" s="181">
        <v>2808</v>
      </c>
      <c r="C521" s="182">
        <v>571500037911</v>
      </c>
      <c r="D521" s="183" t="s">
        <v>121</v>
      </c>
      <c r="E521" s="183" t="s">
        <v>688</v>
      </c>
      <c r="F521" s="183" t="s">
        <v>103</v>
      </c>
      <c r="G521" s="184"/>
      <c r="H521" s="185"/>
      <c r="I521" s="185"/>
      <c r="J521" s="185"/>
      <c r="K521" s="185"/>
      <c r="L521" s="185"/>
    </row>
    <row r="522" spans="1:12" ht="19.5" customHeight="1" x14ac:dyDescent="0.2">
      <c r="A522" s="181"/>
      <c r="B522" s="181"/>
      <c r="C522" s="182"/>
      <c r="D522" s="183"/>
      <c r="E522" s="183"/>
      <c r="F522" s="183"/>
      <c r="G522" s="180"/>
      <c r="H522" s="185"/>
      <c r="I522" s="185"/>
      <c r="J522" s="185"/>
      <c r="K522" s="185"/>
      <c r="L522" s="185"/>
    </row>
    <row r="523" spans="1:12" ht="19.5" customHeight="1" x14ac:dyDescent="0.2">
      <c r="A523" s="181"/>
      <c r="B523" s="181"/>
      <c r="C523" s="182"/>
      <c r="D523" s="183"/>
      <c r="E523" s="183"/>
      <c r="F523" s="183"/>
      <c r="G523" s="180"/>
      <c r="H523" s="185"/>
      <c r="I523" s="185"/>
      <c r="J523" s="185"/>
      <c r="K523" s="185"/>
      <c r="L523" s="185"/>
    </row>
    <row r="524" spans="1:12" ht="19.5" customHeight="1" x14ac:dyDescent="0.2">
      <c r="A524" s="181"/>
      <c r="B524" s="181"/>
      <c r="C524" s="182"/>
      <c r="D524" s="183"/>
      <c r="E524" s="183"/>
      <c r="F524" s="183"/>
      <c r="G524" s="180"/>
      <c r="H524" s="185"/>
      <c r="I524" s="185"/>
      <c r="J524" s="185"/>
      <c r="K524" s="185"/>
      <c r="L524" s="185"/>
    </row>
    <row r="525" spans="1:12" ht="19.5" customHeight="1" x14ac:dyDescent="0.2">
      <c r="A525" s="181"/>
      <c r="B525" s="181"/>
      <c r="C525" s="186"/>
      <c r="D525" s="183"/>
      <c r="E525" s="183"/>
      <c r="F525" s="183"/>
      <c r="G525" s="184"/>
      <c r="H525" s="185"/>
      <c r="I525" s="185"/>
      <c r="J525" s="185"/>
      <c r="K525" s="185"/>
      <c r="L525" s="185"/>
    </row>
    <row r="526" spans="1:12" ht="19.5" customHeight="1" x14ac:dyDescent="0.2">
      <c r="A526" s="181"/>
      <c r="B526" s="181"/>
      <c r="C526" s="182"/>
      <c r="D526" s="183"/>
      <c r="E526" s="183"/>
      <c r="F526" s="183"/>
      <c r="G526" s="184"/>
      <c r="H526" s="185"/>
      <c r="I526" s="185"/>
      <c r="J526" s="185"/>
      <c r="K526" s="185"/>
      <c r="L526" s="185"/>
    </row>
    <row r="527" spans="1:12" ht="19.5" customHeight="1" x14ac:dyDescent="0.2">
      <c r="A527" s="181"/>
      <c r="B527" s="194"/>
      <c r="C527" s="195"/>
      <c r="D527" s="196"/>
      <c r="E527" s="193"/>
      <c r="F527" s="193"/>
      <c r="G527" s="185"/>
      <c r="H527" s="185"/>
      <c r="I527" s="185"/>
      <c r="J527" s="185"/>
      <c r="K527" s="185"/>
      <c r="L527" s="185"/>
    </row>
    <row r="528" spans="1:12" ht="19.5" customHeight="1" x14ac:dyDescent="0.2">
      <c r="A528" s="181"/>
      <c r="B528" s="178"/>
      <c r="C528" s="179"/>
      <c r="D528" s="188"/>
      <c r="E528" s="185"/>
      <c r="F528" s="185"/>
      <c r="G528" s="185"/>
      <c r="H528" s="185"/>
      <c r="I528" s="185"/>
      <c r="J528" s="185"/>
      <c r="K528" s="185"/>
      <c r="L528" s="185"/>
    </row>
    <row r="529" spans="1:12" ht="19.5" customHeight="1" x14ac:dyDescent="0.2">
      <c r="A529" s="181"/>
      <c r="B529" s="178"/>
      <c r="C529" s="179"/>
      <c r="D529" s="188"/>
      <c r="E529" s="185"/>
      <c r="F529" s="185"/>
      <c r="G529" s="185"/>
      <c r="H529" s="185"/>
      <c r="I529" s="185"/>
      <c r="J529" s="185"/>
      <c r="K529" s="185"/>
      <c r="L529" s="185"/>
    </row>
    <row r="530" spans="1:12" ht="19.5" customHeight="1" x14ac:dyDescent="0.2">
      <c r="A530" s="181"/>
      <c r="B530" s="178"/>
      <c r="C530" s="179"/>
      <c r="D530" s="188"/>
      <c r="E530" s="185"/>
      <c r="F530" s="185"/>
      <c r="G530" s="185"/>
      <c r="H530" s="185"/>
      <c r="I530" s="185"/>
      <c r="J530" s="185"/>
      <c r="K530" s="185"/>
      <c r="L530" s="185"/>
    </row>
    <row r="531" spans="1:12" ht="19.5" customHeight="1" x14ac:dyDescent="0.2">
      <c r="A531" s="181"/>
      <c r="B531" s="178"/>
      <c r="C531" s="179" t="s">
        <v>1066</v>
      </c>
      <c r="D531" s="188">
        <f>COUNTIF(D499:D525,"เด็กชาย")</f>
        <v>13</v>
      </c>
      <c r="E531" s="185"/>
      <c r="F531" s="185"/>
      <c r="G531" s="185"/>
      <c r="H531" s="185"/>
      <c r="I531" s="185"/>
      <c r="J531" s="185"/>
      <c r="K531" s="185"/>
      <c r="L531" s="185"/>
    </row>
    <row r="532" spans="1:12" ht="19.5" customHeight="1" x14ac:dyDescent="0.2">
      <c r="A532" s="178"/>
      <c r="B532" s="178"/>
      <c r="C532" s="179" t="s">
        <v>1067</v>
      </c>
      <c r="D532" s="188">
        <f>COUNTIF(D499:D525,"เด็กหญิง")</f>
        <v>10</v>
      </c>
      <c r="E532" s="197"/>
      <c r="F532" s="197"/>
      <c r="G532" s="178"/>
      <c r="H532" s="185"/>
      <c r="I532" s="178"/>
      <c r="J532" s="185"/>
      <c r="K532" s="178"/>
      <c r="L532" s="185"/>
    </row>
    <row r="533" spans="1:12" ht="19.5" customHeight="1" x14ac:dyDescent="0.2">
      <c r="A533" s="178"/>
      <c r="B533" s="178"/>
      <c r="C533" s="179" t="s">
        <v>38</v>
      </c>
      <c r="D533" s="188">
        <f>SUM(D531:D532)</f>
        <v>23</v>
      </c>
      <c r="E533" s="197"/>
      <c r="F533" s="178"/>
      <c r="G533" s="185"/>
      <c r="H533" s="178"/>
      <c r="I533" s="185"/>
      <c r="J533" s="178"/>
      <c r="K533" s="185"/>
      <c r="L533" s="198" t="str">
        <f>L492</f>
        <v>วันที่ 21 พ.ค. 2569</v>
      </c>
    </row>
    <row r="534" spans="1:12" ht="19.5" customHeight="1" x14ac:dyDescent="0.2">
      <c r="A534" s="263" t="s">
        <v>890</v>
      </c>
      <c r="B534" s="264"/>
      <c r="C534" s="264"/>
      <c r="D534" s="264"/>
      <c r="E534" s="264"/>
      <c r="F534" s="264"/>
      <c r="G534" s="264"/>
      <c r="H534" s="264"/>
      <c r="I534" s="264"/>
      <c r="J534" s="264"/>
      <c r="K534" s="264"/>
      <c r="L534" s="264"/>
    </row>
    <row r="535" spans="1:12" ht="19.5" customHeight="1" x14ac:dyDescent="0.2">
      <c r="A535" s="269" t="str">
        <f>A494</f>
        <v>ร่าง-รายชื่อนักเรียนปีการศึกษา 1/2569</v>
      </c>
      <c r="B535" s="269"/>
      <c r="C535" s="269"/>
      <c r="D535" s="269"/>
      <c r="E535" s="269"/>
      <c r="F535" s="269"/>
      <c r="G535" s="269"/>
      <c r="H535" s="269"/>
      <c r="I535" s="269"/>
      <c r="J535" s="269"/>
      <c r="K535" s="269"/>
      <c r="L535" s="269"/>
    </row>
    <row r="536" spans="1:12" ht="19.5" customHeight="1" x14ac:dyDescent="0.2">
      <c r="A536" s="173"/>
      <c r="B536" s="173"/>
      <c r="C536" s="173"/>
      <c r="D536" s="173"/>
      <c r="E536" s="173"/>
      <c r="F536" s="173"/>
      <c r="G536" s="173"/>
      <c r="H536" s="173"/>
      <c r="I536" s="173"/>
      <c r="J536" s="173"/>
      <c r="K536" s="173"/>
      <c r="L536" s="173"/>
    </row>
    <row r="537" spans="1:12" ht="19.5" customHeight="1" x14ac:dyDescent="0.2">
      <c r="A537" s="267" t="s">
        <v>912</v>
      </c>
      <c r="B537" s="267"/>
      <c r="C537" s="267"/>
      <c r="D537" s="268" t="s">
        <v>1024</v>
      </c>
      <c r="E537" s="268"/>
      <c r="F537" s="268"/>
      <c r="G537" s="268"/>
      <c r="H537" s="268"/>
      <c r="I537" s="268"/>
      <c r="J537" s="268"/>
      <c r="K537" s="268"/>
      <c r="L537" s="268"/>
    </row>
    <row r="538" spans="1:12" ht="19.5" customHeight="1" x14ac:dyDescent="0.2">
      <c r="A538" s="175"/>
      <c r="B538" s="175"/>
      <c r="C538" s="176"/>
      <c r="D538" s="174"/>
      <c r="E538" s="174"/>
      <c r="F538" s="177"/>
      <c r="G538" s="175"/>
      <c r="H538" s="175"/>
      <c r="I538" s="175"/>
      <c r="J538" s="175"/>
      <c r="K538" s="175"/>
      <c r="L538" s="175"/>
    </row>
    <row r="539" spans="1:12" ht="19.5" customHeight="1" x14ac:dyDescent="0.2">
      <c r="A539" s="178" t="s">
        <v>43</v>
      </c>
      <c r="B539" s="178" t="s">
        <v>44</v>
      </c>
      <c r="C539" s="179" t="s">
        <v>45</v>
      </c>
      <c r="D539" s="265" t="s">
        <v>892</v>
      </c>
      <c r="E539" s="266"/>
      <c r="F539" s="266"/>
      <c r="G539" s="180"/>
      <c r="H539" s="180"/>
      <c r="I539" s="180"/>
      <c r="J539" s="180"/>
      <c r="K539" s="180"/>
      <c r="L539" s="180"/>
    </row>
    <row r="540" spans="1:12" ht="19.5" customHeight="1" x14ac:dyDescent="0.2">
      <c r="A540" s="181">
        <v>1</v>
      </c>
      <c r="B540" s="181">
        <v>3016</v>
      </c>
      <c r="C540" s="182">
        <v>1509967086746</v>
      </c>
      <c r="D540" s="183" t="s">
        <v>101</v>
      </c>
      <c r="E540" s="183" t="s">
        <v>689</v>
      </c>
      <c r="F540" s="183" t="s">
        <v>690</v>
      </c>
      <c r="G540" s="184"/>
      <c r="H540" s="185"/>
      <c r="I540" s="185"/>
      <c r="J540" s="185"/>
      <c r="K540" s="185"/>
      <c r="L540" s="185"/>
    </row>
    <row r="541" spans="1:12" ht="19.5" customHeight="1" x14ac:dyDescent="0.2">
      <c r="A541" s="181">
        <v>2</v>
      </c>
      <c r="B541" s="181">
        <v>2762</v>
      </c>
      <c r="C541" s="182">
        <v>1571500128264</v>
      </c>
      <c r="D541" s="183" t="s">
        <v>101</v>
      </c>
      <c r="E541" s="183" t="s">
        <v>691</v>
      </c>
      <c r="F541" s="183" t="s">
        <v>193</v>
      </c>
      <c r="G541" s="180"/>
      <c r="H541" s="185"/>
      <c r="I541" s="185"/>
      <c r="J541" s="185"/>
      <c r="K541" s="185"/>
      <c r="L541" s="185"/>
    </row>
    <row r="542" spans="1:12" ht="19.5" customHeight="1" x14ac:dyDescent="0.2">
      <c r="A542" s="181">
        <v>3</v>
      </c>
      <c r="B542" s="181">
        <v>2767</v>
      </c>
      <c r="C542" s="182">
        <v>571500037775</v>
      </c>
      <c r="D542" s="183" t="s">
        <v>101</v>
      </c>
      <c r="E542" s="183" t="s">
        <v>692</v>
      </c>
      <c r="F542" s="183" t="s">
        <v>103</v>
      </c>
      <c r="G542" s="180"/>
      <c r="H542" s="185"/>
      <c r="I542" s="185"/>
      <c r="J542" s="185"/>
      <c r="K542" s="185"/>
      <c r="L542" s="185"/>
    </row>
    <row r="543" spans="1:12" ht="19.5" customHeight="1" x14ac:dyDescent="0.2">
      <c r="A543" s="181">
        <v>4</v>
      </c>
      <c r="B543" s="181">
        <v>3012</v>
      </c>
      <c r="C543" s="186">
        <v>1571500128477</v>
      </c>
      <c r="D543" s="183" t="s">
        <v>101</v>
      </c>
      <c r="E543" s="183" t="s">
        <v>693</v>
      </c>
      <c r="F543" s="183" t="s">
        <v>694</v>
      </c>
      <c r="G543" s="180"/>
      <c r="H543" s="185"/>
      <c r="I543" s="185"/>
      <c r="J543" s="185"/>
      <c r="K543" s="185"/>
      <c r="L543" s="185"/>
    </row>
    <row r="544" spans="1:12" ht="19.5" customHeight="1" x14ac:dyDescent="0.2">
      <c r="A544" s="181">
        <v>5</v>
      </c>
      <c r="B544" s="181">
        <v>2771</v>
      </c>
      <c r="C544" s="182">
        <v>1571500130722</v>
      </c>
      <c r="D544" s="183" t="s">
        <v>101</v>
      </c>
      <c r="E544" s="183" t="s">
        <v>249</v>
      </c>
      <c r="F544" s="183" t="s">
        <v>251</v>
      </c>
      <c r="G544" s="180"/>
      <c r="H544" s="185"/>
      <c r="I544" s="185"/>
      <c r="J544" s="185"/>
      <c r="K544" s="185"/>
      <c r="L544" s="185"/>
    </row>
    <row r="545" spans="1:12" ht="19.5" customHeight="1" x14ac:dyDescent="0.2">
      <c r="A545" s="181">
        <v>6</v>
      </c>
      <c r="B545" s="181">
        <v>2773</v>
      </c>
      <c r="C545" s="182">
        <v>1571500130161</v>
      </c>
      <c r="D545" s="183" t="s">
        <v>101</v>
      </c>
      <c r="E545" s="183" t="s">
        <v>695</v>
      </c>
      <c r="F545" s="183" t="s">
        <v>109</v>
      </c>
      <c r="G545" s="180"/>
      <c r="H545" s="185"/>
      <c r="I545" s="185"/>
      <c r="J545" s="185"/>
      <c r="K545" s="185"/>
      <c r="L545" s="185"/>
    </row>
    <row r="546" spans="1:12" ht="19.5" customHeight="1" x14ac:dyDescent="0.2">
      <c r="A546" s="181">
        <v>7</v>
      </c>
      <c r="B546" s="181">
        <v>2779</v>
      </c>
      <c r="C546" s="186">
        <v>1909804124459</v>
      </c>
      <c r="D546" s="183" t="s">
        <v>101</v>
      </c>
      <c r="E546" s="183" t="s">
        <v>696</v>
      </c>
      <c r="F546" s="183" t="s">
        <v>164</v>
      </c>
      <c r="G546" s="180"/>
      <c r="H546" s="185"/>
      <c r="I546" s="185"/>
      <c r="J546" s="185"/>
      <c r="K546" s="185"/>
      <c r="L546" s="185"/>
    </row>
    <row r="547" spans="1:12" ht="19.5" customHeight="1" x14ac:dyDescent="0.2">
      <c r="A547" s="181">
        <v>8</v>
      </c>
      <c r="B547" s="181">
        <v>2785</v>
      </c>
      <c r="C547" s="187">
        <v>571500038003</v>
      </c>
      <c r="D547" s="188" t="s">
        <v>101</v>
      </c>
      <c r="E547" s="185" t="s">
        <v>697</v>
      </c>
      <c r="F547" s="185" t="s">
        <v>103</v>
      </c>
      <c r="G547" s="180"/>
      <c r="H547" s="185"/>
      <c r="I547" s="185"/>
      <c r="J547" s="185"/>
      <c r="K547" s="185"/>
      <c r="L547" s="185"/>
    </row>
    <row r="548" spans="1:12" ht="19.5" customHeight="1" x14ac:dyDescent="0.2">
      <c r="A548" s="181">
        <v>9</v>
      </c>
      <c r="B548" s="181">
        <v>2786</v>
      </c>
      <c r="C548" s="182">
        <v>571500038674</v>
      </c>
      <c r="D548" s="183" t="s">
        <v>101</v>
      </c>
      <c r="E548" s="183" t="s">
        <v>677</v>
      </c>
      <c r="F548" s="183" t="s">
        <v>103</v>
      </c>
      <c r="G548" s="180"/>
      <c r="H548" s="185"/>
      <c r="I548" s="185"/>
      <c r="J548" s="185"/>
      <c r="K548" s="185"/>
      <c r="L548" s="185"/>
    </row>
    <row r="549" spans="1:12" ht="19.5" customHeight="1" x14ac:dyDescent="0.2">
      <c r="A549" s="181">
        <v>10</v>
      </c>
      <c r="B549" s="181">
        <v>2789</v>
      </c>
      <c r="C549" s="186">
        <v>1119902856222</v>
      </c>
      <c r="D549" s="183" t="s">
        <v>121</v>
      </c>
      <c r="E549" s="183" t="s">
        <v>698</v>
      </c>
      <c r="F549" s="183" t="s">
        <v>699</v>
      </c>
      <c r="G549" s="180"/>
      <c r="H549" s="185"/>
      <c r="I549" s="185"/>
      <c r="J549" s="185"/>
      <c r="K549" s="185"/>
      <c r="L549" s="185"/>
    </row>
    <row r="550" spans="1:12" ht="19.5" customHeight="1" x14ac:dyDescent="0.2">
      <c r="A550" s="181">
        <v>11</v>
      </c>
      <c r="B550" s="181">
        <v>2790</v>
      </c>
      <c r="C550" s="182">
        <v>1579901669891</v>
      </c>
      <c r="D550" s="183" t="s">
        <v>121</v>
      </c>
      <c r="E550" s="183" t="s">
        <v>700</v>
      </c>
      <c r="F550" s="183" t="s">
        <v>701</v>
      </c>
      <c r="G550" s="180"/>
      <c r="H550" s="185"/>
      <c r="I550" s="185"/>
      <c r="J550" s="185"/>
      <c r="K550" s="185"/>
      <c r="L550" s="185"/>
    </row>
    <row r="551" spans="1:12" ht="19.5" customHeight="1" x14ac:dyDescent="0.2">
      <c r="A551" s="181">
        <v>12</v>
      </c>
      <c r="B551" s="181">
        <v>2791</v>
      </c>
      <c r="C551" s="182">
        <v>1501301118161</v>
      </c>
      <c r="D551" s="183" t="s">
        <v>121</v>
      </c>
      <c r="E551" s="183" t="s">
        <v>702</v>
      </c>
      <c r="F551" s="183" t="s">
        <v>622</v>
      </c>
      <c r="G551" s="180"/>
      <c r="H551" s="185"/>
      <c r="I551" s="185"/>
      <c r="J551" s="185"/>
      <c r="K551" s="185"/>
      <c r="L551" s="185"/>
    </row>
    <row r="552" spans="1:12" ht="19.5" customHeight="1" x14ac:dyDescent="0.2">
      <c r="A552" s="181">
        <v>13</v>
      </c>
      <c r="B552" s="181">
        <v>2792</v>
      </c>
      <c r="C552" s="182">
        <v>1571500128671</v>
      </c>
      <c r="D552" s="183" t="s">
        <v>121</v>
      </c>
      <c r="E552" s="183" t="s">
        <v>703</v>
      </c>
      <c r="F552" s="183" t="s">
        <v>704</v>
      </c>
      <c r="G552" s="180"/>
      <c r="H552" s="185"/>
      <c r="I552" s="185"/>
      <c r="J552" s="185"/>
      <c r="K552" s="185"/>
      <c r="L552" s="185"/>
    </row>
    <row r="553" spans="1:12" ht="19.5" customHeight="1" x14ac:dyDescent="0.2">
      <c r="A553" s="181">
        <v>14</v>
      </c>
      <c r="B553" s="181">
        <v>2817</v>
      </c>
      <c r="C553" s="182" t="s">
        <v>705</v>
      </c>
      <c r="D553" s="183" t="s">
        <v>121</v>
      </c>
      <c r="E553" s="183" t="s">
        <v>595</v>
      </c>
      <c r="F553" s="183" t="s">
        <v>103</v>
      </c>
      <c r="G553" s="180"/>
      <c r="H553" s="185"/>
      <c r="I553" s="185"/>
      <c r="J553" s="185"/>
      <c r="K553" s="185"/>
      <c r="L553" s="185"/>
    </row>
    <row r="554" spans="1:12" ht="19.5" customHeight="1" x14ac:dyDescent="0.2">
      <c r="A554" s="181">
        <v>15</v>
      </c>
      <c r="B554" s="181">
        <v>2793</v>
      </c>
      <c r="C554" s="182">
        <v>571500037732</v>
      </c>
      <c r="D554" s="183" t="s">
        <v>121</v>
      </c>
      <c r="E554" s="183" t="s">
        <v>706</v>
      </c>
      <c r="F554" s="183" t="s">
        <v>103</v>
      </c>
      <c r="G554" s="180"/>
      <c r="H554" s="185"/>
      <c r="I554" s="185"/>
      <c r="J554" s="185"/>
      <c r="K554" s="185"/>
      <c r="L554" s="185"/>
    </row>
    <row r="555" spans="1:12" ht="19.5" customHeight="1" x14ac:dyDescent="0.2">
      <c r="A555" s="181">
        <v>16</v>
      </c>
      <c r="B555" s="181">
        <v>2795</v>
      </c>
      <c r="C555" s="182">
        <v>1571500129651</v>
      </c>
      <c r="D555" s="183" t="s">
        <v>121</v>
      </c>
      <c r="E555" s="183" t="s">
        <v>707</v>
      </c>
      <c r="F555" s="183" t="s">
        <v>236</v>
      </c>
      <c r="G555" s="180"/>
      <c r="H555" s="185"/>
      <c r="I555" s="185"/>
      <c r="J555" s="185"/>
      <c r="K555" s="185"/>
      <c r="L555" s="185"/>
    </row>
    <row r="556" spans="1:12" ht="19.5" customHeight="1" x14ac:dyDescent="0.2">
      <c r="A556" s="181">
        <v>17</v>
      </c>
      <c r="B556" s="181">
        <v>2872</v>
      </c>
      <c r="C556" s="182">
        <v>571500038089</v>
      </c>
      <c r="D556" s="183" t="s">
        <v>121</v>
      </c>
      <c r="E556" s="183" t="s">
        <v>514</v>
      </c>
      <c r="F556" s="183" t="s">
        <v>708</v>
      </c>
      <c r="G556" s="180"/>
      <c r="H556" s="185"/>
      <c r="I556" s="185"/>
      <c r="J556" s="185"/>
      <c r="K556" s="185"/>
      <c r="L556" s="185"/>
    </row>
    <row r="557" spans="1:12" ht="19.5" customHeight="1" x14ac:dyDescent="0.2">
      <c r="A557" s="181">
        <v>18</v>
      </c>
      <c r="B557" s="181">
        <v>2799</v>
      </c>
      <c r="C557" s="182">
        <v>1571500130056</v>
      </c>
      <c r="D557" s="183" t="s">
        <v>121</v>
      </c>
      <c r="E557" s="183" t="s">
        <v>125</v>
      </c>
      <c r="F557" s="183" t="s">
        <v>709</v>
      </c>
      <c r="G557" s="180"/>
      <c r="H557" s="185"/>
      <c r="I557" s="185"/>
      <c r="J557" s="185"/>
      <c r="K557" s="185"/>
      <c r="L557" s="185"/>
    </row>
    <row r="558" spans="1:12" ht="19.5" customHeight="1" x14ac:dyDescent="0.2">
      <c r="A558" s="181">
        <v>19</v>
      </c>
      <c r="B558" s="181">
        <v>2800</v>
      </c>
      <c r="C558" s="182">
        <v>1571500131435</v>
      </c>
      <c r="D558" s="183" t="s">
        <v>121</v>
      </c>
      <c r="E558" s="183" t="s">
        <v>710</v>
      </c>
      <c r="F558" s="183" t="s">
        <v>471</v>
      </c>
      <c r="G558" s="180"/>
      <c r="H558" s="185"/>
      <c r="I558" s="185"/>
      <c r="J558" s="185"/>
      <c r="K558" s="185"/>
      <c r="L558" s="185"/>
    </row>
    <row r="559" spans="1:12" ht="19.5" customHeight="1" x14ac:dyDescent="0.2">
      <c r="A559" s="181">
        <v>20</v>
      </c>
      <c r="B559" s="181">
        <v>2802</v>
      </c>
      <c r="C559" s="182">
        <v>1571500132521</v>
      </c>
      <c r="D559" s="183" t="s">
        <v>121</v>
      </c>
      <c r="E559" s="183" t="s">
        <v>711</v>
      </c>
      <c r="F559" s="183" t="s">
        <v>460</v>
      </c>
      <c r="G559" s="184"/>
      <c r="H559" s="185"/>
      <c r="I559" s="185"/>
      <c r="J559" s="185"/>
      <c r="K559" s="185"/>
      <c r="L559" s="185"/>
    </row>
    <row r="560" spans="1:12" ht="19.5" customHeight="1" x14ac:dyDescent="0.2">
      <c r="A560" s="181">
        <v>21</v>
      </c>
      <c r="B560" s="181">
        <v>2804</v>
      </c>
      <c r="C560" s="191" t="s">
        <v>712</v>
      </c>
      <c r="D560" s="192" t="s">
        <v>121</v>
      </c>
      <c r="E560" s="193" t="s">
        <v>356</v>
      </c>
      <c r="F560" s="193" t="s">
        <v>713</v>
      </c>
      <c r="G560" s="180"/>
      <c r="H560" s="185"/>
      <c r="I560" s="185"/>
      <c r="J560" s="185"/>
      <c r="K560" s="185"/>
      <c r="L560" s="185"/>
    </row>
    <row r="561" spans="1:12" ht="19.5" customHeight="1" x14ac:dyDescent="0.2">
      <c r="A561" s="181">
        <v>22</v>
      </c>
      <c r="B561" s="181">
        <v>2805</v>
      </c>
      <c r="C561" s="182">
        <v>571500038151</v>
      </c>
      <c r="D561" s="183" t="s">
        <v>121</v>
      </c>
      <c r="E561" s="183" t="s">
        <v>522</v>
      </c>
      <c r="F561" s="183" t="s">
        <v>103</v>
      </c>
      <c r="G561" s="180"/>
      <c r="H561" s="185"/>
      <c r="I561" s="185"/>
      <c r="J561" s="185"/>
      <c r="K561" s="185"/>
      <c r="L561" s="185"/>
    </row>
    <row r="562" spans="1:12" ht="19.5" customHeight="1" x14ac:dyDescent="0.2">
      <c r="A562" s="181"/>
      <c r="B562" s="178"/>
      <c r="C562" s="187"/>
      <c r="D562" s="188"/>
      <c r="E562" s="185"/>
      <c r="F562" s="185"/>
      <c r="G562" s="184"/>
      <c r="H562" s="185"/>
      <c r="I562" s="185"/>
      <c r="J562" s="185"/>
      <c r="K562" s="185"/>
      <c r="L562" s="185"/>
    </row>
    <row r="563" spans="1:12" ht="19.5" customHeight="1" x14ac:dyDescent="0.2">
      <c r="A563" s="181"/>
      <c r="B563" s="181"/>
      <c r="C563" s="182"/>
      <c r="D563" s="183"/>
      <c r="E563" s="183"/>
      <c r="F563" s="183"/>
      <c r="G563" s="180"/>
      <c r="H563" s="185"/>
      <c r="I563" s="185"/>
      <c r="J563" s="185"/>
      <c r="K563" s="185"/>
      <c r="L563" s="185"/>
    </row>
    <row r="564" spans="1:12" ht="19.5" customHeight="1" x14ac:dyDescent="0.2">
      <c r="A564" s="181"/>
      <c r="B564" s="181"/>
      <c r="C564" s="182"/>
      <c r="D564" s="183"/>
      <c r="E564" s="183"/>
      <c r="F564" s="183"/>
      <c r="G564" s="180"/>
      <c r="H564" s="185"/>
      <c r="I564" s="185"/>
      <c r="J564" s="185"/>
      <c r="K564" s="185"/>
      <c r="L564" s="185"/>
    </row>
    <row r="565" spans="1:12" ht="19.5" customHeight="1" x14ac:dyDescent="0.2">
      <c r="A565" s="181"/>
      <c r="B565" s="181"/>
      <c r="C565" s="182"/>
      <c r="D565" s="183"/>
      <c r="E565" s="183"/>
      <c r="F565" s="183"/>
      <c r="G565" s="180"/>
      <c r="H565" s="185"/>
      <c r="I565" s="185"/>
      <c r="J565" s="185"/>
      <c r="K565" s="185"/>
      <c r="L565" s="185"/>
    </row>
    <row r="566" spans="1:12" ht="19.5" customHeight="1" x14ac:dyDescent="0.2">
      <c r="A566" s="181"/>
      <c r="B566" s="181"/>
      <c r="C566" s="186"/>
      <c r="D566" s="183"/>
      <c r="E566" s="183"/>
      <c r="F566" s="183"/>
      <c r="G566" s="184"/>
      <c r="H566" s="185"/>
      <c r="I566" s="185"/>
      <c r="J566" s="185"/>
      <c r="K566" s="185"/>
      <c r="L566" s="185"/>
    </row>
    <row r="567" spans="1:12" ht="19.5" customHeight="1" x14ac:dyDescent="0.2">
      <c r="A567" s="181"/>
      <c r="B567" s="181"/>
      <c r="C567" s="182"/>
      <c r="D567" s="183"/>
      <c r="E567" s="183"/>
      <c r="F567" s="183"/>
      <c r="G567" s="184"/>
      <c r="H567" s="185"/>
      <c r="I567" s="185"/>
      <c r="J567" s="185"/>
      <c r="K567" s="185"/>
      <c r="L567" s="185"/>
    </row>
    <row r="568" spans="1:12" ht="19.5" customHeight="1" x14ac:dyDescent="0.2">
      <c r="A568" s="181"/>
      <c r="B568" s="194"/>
      <c r="C568" s="195"/>
      <c r="D568" s="196"/>
      <c r="E568" s="193"/>
      <c r="F568" s="193"/>
      <c r="G568" s="185"/>
      <c r="H568" s="185"/>
      <c r="I568" s="185"/>
      <c r="J568" s="185"/>
      <c r="K568" s="185"/>
      <c r="L568" s="185"/>
    </row>
    <row r="569" spans="1:12" ht="19.5" customHeight="1" x14ac:dyDescent="0.2">
      <c r="A569" s="181"/>
      <c r="B569" s="178"/>
      <c r="C569" s="179"/>
      <c r="D569" s="188"/>
      <c r="E569" s="185"/>
      <c r="F569" s="185"/>
      <c r="G569" s="185"/>
      <c r="H569" s="185"/>
      <c r="I569" s="185"/>
      <c r="J569" s="185"/>
      <c r="K569" s="185"/>
      <c r="L569" s="185"/>
    </row>
    <row r="570" spans="1:12" ht="19.5" customHeight="1" x14ac:dyDescent="0.2">
      <c r="A570" s="181"/>
      <c r="B570" s="178"/>
      <c r="C570" s="179"/>
      <c r="D570" s="188"/>
      <c r="E570" s="185"/>
      <c r="F570" s="185"/>
      <c r="G570" s="185"/>
      <c r="H570" s="185"/>
      <c r="I570" s="185"/>
      <c r="J570" s="185"/>
      <c r="K570" s="185"/>
      <c r="L570" s="185"/>
    </row>
    <row r="571" spans="1:12" ht="19.5" customHeight="1" x14ac:dyDescent="0.2">
      <c r="A571" s="181"/>
      <c r="B571" s="178"/>
      <c r="C571" s="179"/>
      <c r="D571" s="188"/>
      <c r="E571" s="185"/>
      <c r="F571" s="185"/>
      <c r="G571" s="185"/>
      <c r="H571" s="185"/>
      <c r="I571" s="185"/>
      <c r="J571" s="185"/>
      <c r="K571" s="185"/>
      <c r="L571" s="185"/>
    </row>
    <row r="572" spans="1:12" ht="19.5" customHeight="1" x14ac:dyDescent="0.2">
      <c r="A572" s="181"/>
      <c r="B572" s="178"/>
      <c r="C572" s="179" t="s">
        <v>1066</v>
      </c>
      <c r="D572" s="188">
        <f>COUNTIF(D540:D566,"เด็กชาย")</f>
        <v>9</v>
      </c>
      <c r="E572" s="185"/>
      <c r="F572" s="185"/>
      <c r="G572" s="185"/>
      <c r="H572" s="185"/>
      <c r="I572" s="185"/>
      <c r="J572" s="185"/>
      <c r="K572" s="185"/>
      <c r="L572" s="185"/>
    </row>
    <row r="573" spans="1:12" ht="19.5" customHeight="1" x14ac:dyDescent="0.2">
      <c r="A573" s="178"/>
      <c r="B573" s="178"/>
      <c r="C573" s="179" t="s">
        <v>1067</v>
      </c>
      <c r="D573" s="188">
        <f>COUNTIF(D540:D566,"เด็กหญิง")</f>
        <v>13</v>
      </c>
      <c r="E573" s="197"/>
      <c r="F573" s="197"/>
      <c r="G573" s="178"/>
      <c r="H573" s="185"/>
      <c r="I573" s="178"/>
      <c r="J573" s="185"/>
      <c r="K573" s="178"/>
      <c r="L573" s="185"/>
    </row>
    <row r="574" spans="1:12" ht="19.5" customHeight="1" x14ac:dyDescent="0.2">
      <c r="A574" s="178"/>
      <c r="B574" s="178"/>
      <c r="C574" s="179" t="s">
        <v>38</v>
      </c>
      <c r="D574" s="188">
        <f>SUM(D572:D573)</f>
        <v>22</v>
      </c>
      <c r="E574" s="197"/>
      <c r="F574" s="178"/>
      <c r="G574" s="185"/>
      <c r="H574" s="178"/>
      <c r="I574" s="185"/>
      <c r="J574" s="178"/>
      <c r="K574" s="185"/>
      <c r="L574" s="198" t="str">
        <f>L533</f>
        <v>วันที่ 21 พ.ค. 2569</v>
      </c>
    </row>
  </sheetData>
  <mergeCells count="70">
    <mergeCell ref="A537:C537"/>
    <mergeCell ref="D537:L537"/>
    <mergeCell ref="D539:F539"/>
    <mergeCell ref="A494:L494"/>
    <mergeCell ref="A496:C496"/>
    <mergeCell ref="D496:L496"/>
    <mergeCell ref="D498:F498"/>
    <mergeCell ref="A534:L534"/>
    <mergeCell ref="A535:L535"/>
    <mergeCell ref="A493:L493"/>
    <mergeCell ref="D375:F375"/>
    <mergeCell ref="A411:L411"/>
    <mergeCell ref="A412:L412"/>
    <mergeCell ref="A414:C414"/>
    <mergeCell ref="D414:L414"/>
    <mergeCell ref="D416:F416"/>
    <mergeCell ref="A452:L452"/>
    <mergeCell ref="A453:L453"/>
    <mergeCell ref="A455:C455"/>
    <mergeCell ref="D455:L455"/>
    <mergeCell ref="D457:F457"/>
    <mergeCell ref="A373:C373"/>
    <mergeCell ref="D373:L373"/>
    <mergeCell ref="A289:L289"/>
    <mergeCell ref="A291:C291"/>
    <mergeCell ref="D291:L291"/>
    <mergeCell ref="D293:F293"/>
    <mergeCell ref="A329:L329"/>
    <mergeCell ref="A330:L330"/>
    <mergeCell ref="A332:C332"/>
    <mergeCell ref="D332:L332"/>
    <mergeCell ref="D334:F334"/>
    <mergeCell ref="A370:L370"/>
    <mergeCell ref="A371:L371"/>
    <mergeCell ref="A288:L288"/>
    <mergeCell ref="D170:F170"/>
    <mergeCell ref="A206:L206"/>
    <mergeCell ref="A207:L207"/>
    <mergeCell ref="A209:C209"/>
    <mergeCell ref="D209:L209"/>
    <mergeCell ref="D211:F211"/>
    <mergeCell ref="A247:L247"/>
    <mergeCell ref="A248:L248"/>
    <mergeCell ref="A250:C250"/>
    <mergeCell ref="D250:L250"/>
    <mergeCell ref="D252:F252"/>
    <mergeCell ref="A168:C168"/>
    <mergeCell ref="D168:L168"/>
    <mergeCell ref="A84:L84"/>
    <mergeCell ref="A86:C86"/>
    <mergeCell ref="D86:L86"/>
    <mergeCell ref="D88:F88"/>
    <mergeCell ref="A124:L124"/>
    <mergeCell ref="A125:L125"/>
    <mergeCell ref="A127:C127"/>
    <mergeCell ref="D127:L127"/>
    <mergeCell ref="D129:F129"/>
    <mergeCell ref="A165:L165"/>
    <mergeCell ref="A166:L166"/>
    <mergeCell ref="A83:L83"/>
    <mergeCell ref="A1:L1"/>
    <mergeCell ref="D6:F6"/>
    <mergeCell ref="A4:C4"/>
    <mergeCell ref="D4:L4"/>
    <mergeCell ref="A2:L2"/>
    <mergeCell ref="A42:L42"/>
    <mergeCell ref="A43:L43"/>
    <mergeCell ref="A45:C45"/>
    <mergeCell ref="D45:L45"/>
    <mergeCell ref="D47:F47"/>
  </mergeCells>
  <pageMargins left="0.39370078740157483" right="0.19685039370078741" top="0.19685039370078741" bottom="0.19685039370078741" header="0" footer="0"/>
  <pageSetup paperSize="9" orientation="portrait" horizontalDpi="200" verticalDpi="200" r:id="rId1"/>
  <rowBreaks count="13" manualBreakCount="13">
    <brk id="41" max="16383" man="1"/>
    <brk id="82" max="16383" man="1"/>
    <brk id="123" max="16383" man="1"/>
    <brk id="164" max="16383" man="1"/>
    <brk id="205" max="16383" man="1"/>
    <brk id="246" max="16383" man="1"/>
    <brk id="287" max="16383" man="1"/>
    <brk id="328" max="16383" man="1"/>
    <brk id="369" max="16383" man="1"/>
    <brk id="410" max="16383" man="1"/>
    <brk id="451" max="16383" man="1"/>
    <brk id="492" max="16383" man="1"/>
    <brk id="5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B354D-D3FE-4C27-93B5-39202767A7F2}">
  <sheetPr>
    <tabColor rgb="FFF6B26B"/>
  </sheetPr>
  <dimension ref="A1:M169"/>
  <sheetViews>
    <sheetView view="pageBreakPreview" zoomScale="85" zoomScaleNormal="100" zoomScaleSheetLayoutView="85" workbookViewId="0">
      <selection activeCell="E11" sqref="E1:E1048576"/>
    </sheetView>
  </sheetViews>
  <sheetFormatPr defaultRowHeight="19.5" customHeight="1" x14ac:dyDescent="0.2"/>
  <cols>
    <col min="1" max="1" width="6.42578125" style="77" customWidth="1"/>
    <col min="2" max="2" width="8.7109375" style="77" customWidth="1"/>
    <col min="3" max="3" width="18.85546875" style="77" customWidth="1"/>
    <col min="4" max="4" width="8.7109375" style="77" customWidth="1"/>
    <col min="5" max="5" width="11.140625" style="77" customWidth="1"/>
    <col min="6" max="6" width="12.28515625" style="77" customWidth="1"/>
    <col min="7" max="7" width="5.42578125" style="77" customWidth="1"/>
    <col min="8" max="12" width="4.7109375" style="77" customWidth="1"/>
    <col min="13" max="13" width="5.85546875" style="77" customWidth="1"/>
    <col min="14" max="18" width="14" style="77" customWidth="1"/>
    <col min="19" max="16384" width="9.140625" style="77"/>
  </cols>
  <sheetData>
    <row r="1" spans="1:13" ht="19.5" customHeight="1" x14ac:dyDescent="0.2">
      <c r="A1" s="234" t="s">
        <v>890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76"/>
    </row>
    <row r="2" spans="1:13" ht="19.5" customHeight="1" x14ac:dyDescent="0.2">
      <c r="A2" s="233" t="s">
        <v>1033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79"/>
    </row>
    <row r="3" spans="1:13" ht="19.5" customHeight="1" x14ac:dyDescent="0.2">
      <c r="A3" s="78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9"/>
    </row>
    <row r="4" spans="1:13" ht="19.5" customHeight="1" x14ac:dyDescent="0.2">
      <c r="A4" s="236" t="s">
        <v>915</v>
      </c>
      <c r="B4" s="236"/>
      <c r="C4" s="236"/>
      <c r="D4" s="237" t="s">
        <v>1025</v>
      </c>
      <c r="E4" s="237"/>
      <c r="F4" s="237"/>
      <c r="G4" s="237"/>
      <c r="H4" s="237"/>
      <c r="I4" s="237"/>
      <c r="J4" s="237"/>
      <c r="K4" s="237"/>
      <c r="L4" s="237"/>
      <c r="M4" s="76"/>
    </row>
    <row r="5" spans="1:13" ht="19.5" customHeight="1" x14ac:dyDescent="0.2">
      <c r="A5" s="103"/>
      <c r="B5" s="103"/>
      <c r="C5" s="104"/>
      <c r="D5" s="80"/>
      <c r="E5" s="80"/>
      <c r="F5" s="105"/>
      <c r="G5" s="103"/>
      <c r="H5" s="103"/>
      <c r="I5" s="103"/>
      <c r="J5" s="103"/>
      <c r="K5" s="103"/>
      <c r="L5" s="103"/>
      <c r="M5" s="76"/>
    </row>
    <row r="6" spans="1:13" ht="19.5" customHeight="1" x14ac:dyDescent="0.2">
      <c r="A6" s="82" t="s">
        <v>43</v>
      </c>
      <c r="B6" s="82" t="s">
        <v>44</v>
      </c>
      <c r="C6" s="83" t="s">
        <v>45</v>
      </c>
      <c r="D6" s="238" t="s">
        <v>892</v>
      </c>
      <c r="E6" s="239"/>
      <c r="F6" s="239"/>
      <c r="G6" s="84"/>
      <c r="H6" s="84"/>
      <c r="I6" s="84"/>
      <c r="J6" s="84"/>
      <c r="K6" s="84"/>
      <c r="L6" s="84"/>
      <c r="M6" s="76"/>
    </row>
    <row r="7" spans="1:13" ht="19.5" customHeight="1" x14ac:dyDescent="0.2">
      <c r="A7" s="85">
        <v>1</v>
      </c>
      <c r="B7" s="85">
        <v>2686</v>
      </c>
      <c r="C7" s="86">
        <v>571500031394</v>
      </c>
      <c r="D7" s="101" t="s">
        <v>101</v>
      </c>
      <c r="E7" s="101" t="s">
        <v>714</v>
      </c>
      <c r="F7" s="101" t="s">
        <v>103</v>
      </c>
      <c r="G7" s="102"/>
      <c r="H7" s="90"/>
      <c r="I7" s="90"/>
      <c r="J7" s="90"/>
      <c r="K7" s="90"/>
      <c r="L7" s="90"/>
      <c r="M7" s="76"/>
    </row>
    <row r="8" spans="1:13" ht="19.5" customHeight="1" x14ac:dyDescent="0.2">
      <c r="A8" s="85">
        <v>2</v>
      </c>
      <c r="B8" s="85">
        <v>2689</v>
      </c>
      <c r="C8" s="86">
        <v>1571500127012</v>
      </c>
      <c r="D8" s="101" t="s">
        <v>101</v>
      </c>
      <c r="E8" s="101" t="s">
        <v>716</v>
      </c>
      <c r="F8" s="101" t="s">
        <v>460</v>
      </c>
      <c r="G8" s="84"/>
      <c r="H8" s="90"/>
      <c r="I8" s="90"/>
      <c r="J8" s="90"/>
      <c r="K8" s="90"/>
      <c r="L8" s="90"/>
      <c r="M8" s="76"/>
    </row>
    <row r="9" spans="1:13" ht="19.5" customHeight="1" x14ac:dyDescent="0.2">
      <c r="A9" s="85">
        <v>3</v>
      </c>
      <c r="B9" s="85">
        <v>2690</v>
      </c>
      <c r="C9" s="86">
        <v>1571500123912</v>
      </c>
      <c r="D9" s="101" t="s">
        <v>101</v>
      </c>
      <c r="E9" s="101" t="s">
        <v>748</v>
      </c>
      <c r="F9" s="101" t="s">
        <v>355</v>
      </c>
      <c r="G9" s="84"/>
      <c r="H9" s="90"/>
      <c r="I9" s="90"/>
      <c r="J9" s="90"/>
      <c r="K9" s="90"/>
      <c r="L9" s="90"/>
      <c r="M9" s="76"/>
    </row>
    <row r="10" spans="1:13" ht="19.5" customHeight="1" x14ac:dyDescent="0.2">
      <c r="A10" s="85">
        <v>4</v>
      </c>
      <c r="B10" s="85">
        <v>2695</v>
      </c>
      <c r="C10" s="91">
        <v>1571500125125</v>
      </c>
      <c r="D10" s="101" t="s">
        <v>101</v>
      </c>
      <c r="E10" s="101" t="s">
        <v>749</v>
      </c>
      <c r="F10" s="101" t="s">
        <v>134</v>
      </c>
      <c r="G10" s="84"/>
      <c r="H10" s="90"/>
      <c r="I10" s="90"/>
      <c r="J10" s="90"/>
      <c r="K10" s="90"/>
      <c r="L10" s="90"/>
      <c r="M10" s="76"/>
    </row>
    <row r="11" spans="1:13" ht="19.5" customHeight="1" x14ac:dyDescent="0.2">
      <c r="A11" s="85">
        <v>5</v>
      </c>
      <c r="B11" s="85">
        <v>2694</v>
      </c>
      <c r="C11" s="86">
        <v>1571500125079</v>
      </c>
      <c r="D11" s="101" t="s">
        <v>101</v>
      </c>
      <c r="E11" s="101" t="s">
        <v>752</v>
      </c>
      <c r="F11" s="101" t="s">
        <v>326</v>
      </c>
      <c r="G11" s="84"/>
      <c r="H11" s="90"/>
      <c r="I11" s="90"/>
      <c r="J11" s="90"/>
      <c r="K11" s="90"/>
      <c r="L11" s="90"/>
      <c r="M11" s="76"/>
    </row>
    <row r="12" spans="1:13" ht="19.5" customHeight="1" x14ac:dyDescent="0.2">
      <c r="A12" s="85">
        <v>6</v>
      </c>
      <c r="B12" s="85">
        <v>2701</v>
      </c>
      <c r="C12" s="91">
        <v>1571500124579</v>
      </c>
      <c r="D12" s="101" t="s">
        <v>101</v>
      </c>
      <c r="E12" s="101" t="s">
        <v>777</v>
      </c>
      <c r="F12" s="101" t="s">
        <v>242</v>
      </c>
      <c r="G12" s="84"/>
      <c r="H12" s="90"/>
      <c r="I12" s="90"/>
      <c r="J12" s="90"/>
      <c r="K12" s="90"/>
      <c r="L12" s="90"/>
      <c r="M12" s="76"/>
    </row>
    <row r="13" spans="1:13" ht="19.5" customHeight="1" x14ac:dyDescent="0.2">
      <c r="A13" s="85">
        <v>7</v>
      </c>
      <c r="B13" s="85">
        <v>2702</v>
      </c>
      <c r="C13" s="92">
        <v>571500032021</v>
      </c>
      <c r="D13" s="106" t="s">
        <v>101</v>
      </c>
      <c r="E13" s="90" t="s">
        <v>754</v>
      </c>
      <c r="F13" s="90" t="s">
        <v>103</v>
      </c>
      <c r="G13" s="84"/>
      <c r="H13" s="90"/>
      <c r="I13" s="90"/>
      <c r="J13" s="90"/>
      <c r="K13" s="90"/>
      <c r="L13" s="90"/>
      <c r="M13" s="76"/>
    </row>
    <row r="14" spans="1:13" ht="19.5" customHeight="1" x14ac:dyDescent="0.2">
      <c r="A14" s="85">
        <v>8</v>
      </c>
      <c r="B14" s="85">
        <v>2703</v>
      </c>
      <c r="C14" s="91">
        <v>1571500125371</v>
      </c>
      <c r="D14" s="101" t="s">
        <v>101</v>
      </c>
      <c r="E14" s="101" t="s">
        <v>719</v>
      </c>
      <c r="F14" s="101" t="s">
        <v>538</v>
      </c>
      <c r="G14" s="84"/>
      <c r="H14" s="90"/>
      <c r="I14" s="90"/>
      <c r="J14" s="90"/>
      <c r="K14" s="90"/>
      <c r="L14" s="90"/>
      <c r="M14" s="76"/>
    </row>
    <row r="15" spans="1:13" ht="19.5" customHeight="1" x14ac:dyDescent="0.2">
      <c r="A15" s="85">
        <v>9</v>
      </c>
      <c r="B15" s="85">
        <v>2706</v>
      </c>
      <c r="C15" s="86">
        <v>1571500124960</v>
      </c>
      <c r="D15" s="101" t="s">
        <v>101</v>
      </c>
      <c r="E15" s="101" t="s">
        <v>756</v>
      </c>
      <c r="F15" s="101" t="s">
        <v>757</v>
      </c>
      <c r="G15" s="84"/>
      <c r="H15" s="90"/>
      <c r="I15" s="90"/>
      <c r="J15" s="90"/>
      <c r="K15" s="90"/>
      <c r="L15" s="90"/>
      <c r="M15" s="76"/>
    </row>
    <row r="16" spans="1:13" ht="19.5" customHeight="1" x14ac:dyDescent="0.2">
      <c r="A16" s="85">
        <v>10</v>
      </c>
      <c r="B16" s="85">
        <v>2719</v>
      </c>
      <c r="C16" s="86">
        <v>1571500122525</v>
      </c>
      <c r="D16" s="101" t="s">
        <v>121</v>
      </c>
      <c r="E16" s="101" t="s">
        <v>763</v>
      </c>
      <c r="F16" s="101" t="s">
        <v>126</v>
      </c>
      <c r="G16" s="84"/>
      <c r="H16" s="90"/>
      <c r="I16" s="90"/>
      <c r="J16" s="90"/>
      <c r="K16" s="90"/>
      <c r="L16" s="90"/>
      <c r="M16" s="76"/>
    </row>
    <row r="17" spans="1:13" ht="19.5" customHeight="1" x14ac:dyDescent="0.2">
      <c r="A17" s="85">
        <v>11</v>
      </c>
      <c r="B17" s="85">
        <v>2720</v>
      </c>
      <c r="C17" s="86">
        <v>571500002467</v>
      </c>
      <c r="D17" s="101" t="s">
        <v>121</v>
      </c>
      <c r="E17" s="101" t="s">
        <v>764</v>
      </c>
      <c r="F17" s="101" t="s">
        <v>229</v>
      </c>
      <c r="G17" s="84"/>
      <c r="H17" s="90"/>
      <c r="I17" s="90"/>
      <c r="J17" s="90"/>
      <c r="K17" s="90"/>
      <c r="L17" s="90"/>
      <c r="M17" s="76"/>
    </row>
    <row r="18" spans="1:13" ht="19.5" customHeight="1" x14ac:dyDescent="0.2">
      <c r="A18" s="85">
        <v>12</v>
      </c>
      <c r="B18" s="85">
        <v>2721</v>
      </c>
      <c r="C18" s="86">
        <v>571500001606</v>
      </c>
      <c r="D18" s="101" t="s">
        <v>121</v>
      </c>
      <c r="E18" s="101" t="s">
        <v>765</v>
      </c>
      <c r="F18" s="101" t="s">
        <v>766</v>
      </c>
      <c r="G18" s="84"/>
      <c r="H18" s="90"/>
      <c r="I18" s="90"/>
      <c r="J18" s="90"/>
      <c r="K18" s="90"/>
      <c r="L18" s="90"/>
      <c r="M18" s="76"/>
    </row>
    <row r="19" spans="1:13" ht="19.5" customHeight="1" x14ac:dyDescent="0.2">
      <c r="A19" s="85">
        <v>13</v>
      </c>
      <c r="B19" s="85">
        <v>2722</v>
      </c>
      <c r="C19" s="86">
        <v>1571500127322</v>
      </c>
      <c r="D19" s="101" t="s">
        <v>121</v>
      </c>
      <c r="E19" s="101" t="s">
        <v>727</v>
      </c>
      <c r="F19" s="101" t="s">
        <v>370</v>
      </c>
      <c r="G19" s="84"/>
      <c r="H19" s="90"/>
      <c r="I19" s="90"/>
      <c r="J19" s="90"/>
      <c r="K19" s="90"/>
      <c r="L19" s="90"/>
      <c r="M19" s="76"/>
    </row>
    <row r="20" spans="1:13" ht="19.5" customHeight="1" x14ac:dyDescent="0.2">
      <c r="A20" s="85">
        <v>14</v>
      </c>
      <c r="B20" s="85">
        <v>2634</v>
      </c>
      <c r="C20" s="86" t="s">
        <v>728</v>
      </c>
      <c r="D20" s="101" t="s">
        <v>121</v>
      </c>
      <c r="E20" s="101" t="s">
        <v>729</v>
      </c>
      <c r="F20" s="101" t="s">
        <v>103</v>
      </c>
      <c r="G20" s="84"/>
      <c r="H20" s="90"/>
      <c r="I20" s="90"/>
      <c r="J20" s="90"/>
      <c r="K20" s="90"/>
      <c r="L20" s="90"/>
      <c r="M20" s="76"/>
    </row>
    <row r="21" spans="1:13" ht="19.5" customHeight="1" x14ac:dyDescent="0.2">
      <c r="A21" s="85">
        <v>15</v>
      </c>
      <c r="B21" s="85">
        <v>2732</v>
      </c>
      <c r="C21" s="86">
        <v>8571576099475</v>
      </c>
      <c r="D21" s="101" t="s">
        <v>121</v>
      </c>
      <c r="E21" s="101" t="s">
        <v>733</v>
      </c>
      <c r="F21" s="101" t="s">
        <v>734</v>
      </c>
      <c r="G21" s="84"/>
      <c r="H21" s="90"/>
      <c r="I21" s="90"/>
      <c r="J21" s="90"/>
      <c r="K21" s="90"/>
      <c r="L21" s="90"/>
      <c r="M21" s="76"/>
    </row>
    <row r="22" spans="1:13" ht="19.5" customHeight="1" x14ac:dyDescent="0.2">
      <c r="A22" s="85">
        <v>16</v>
      </c>
      <c r="B22" s="85">
        <v>2733</v>
      </c>
      <c r="C22" s="86">
        <v>1571500125940</v>
      </c>
      <c r="D22" s="101" t="s">
        <v>121</v>
      </c>
      <c r="E22" s="101" t="s">
        <v>771</v>
      </c>
      <c r="F22" s="101" t="s">
        <v>134</v>
      </c>
      <c r="G22" s="84"/>
      <c r="H22" s="90"/>
      <c r="I22" s="90"/>
      <c r="J22" s="90"/>
      <c r="K22" s="90"/>
      <c r="L22" s="90"/>
      <c r="M22" s="76"/>
    </row>
    <row r="23" spans="1:13" ht="19.5" customHeight="1" x14ac:dyDescent="0.2">
      <c r="A23" s="85">
        <v>17</v>
      </c>
      <c r="B23" s="85">
        <v>2647</v>
      </c>
      <c r="C23" s="93">
        <v>1579901560695</v>
      </c>
      <c r="D23" s="107" t="s">
        <v>121</v>
      </c>
      <c r="E23" s="95" t="s">
        <v>735</v>
      </c>
      <c r="F23" s="95" t="s">
        <v>736</v>
      </c>
      <c r="G23" s="84"/>
      <c r="H23" s="90"/>
      <c r="I23" s="90"/>
      <c r="J23" s="90"/>
      <c r="K23" s="90"/>
      <c r="L23" s="90"/>
      <c r="M23" s="76"/>
    </row>
    <row r="24" spans="1:13" ht="19.5" customHeight="1" x14ac:dyDescent="0.2">
      <c r="A24" s="85">
        <v>18</v>
      </c>
      <c r="B24" s="85">
        <v>2752</v>
      </c>
      <c r="C24" s="86">
        <v>571500031378</v>
      </c>
      <c r="D24" s="101" t="s">
        <v>121</v>
      </c>
      <c r="E24" s="101" t="s">
        <v>772</v>
      </c>
      <c r="F24" s="101" t="s">
        <v>103</v>
      </c>
      <c r="G24" s="84"/>
      <c r="H24" s="90"/>
      <c r="I24" s="90"/>
      <c r="J24" s="90"/>
      <c r="K24" s="90"/>
      <c r="L24" s="90"/>
      <c r="M24" s="76"/>
    </row>
    <row r="25" spans="1:13" ht="19.5" customHeight="1" x14ac:dyDescent="0.2">
      <c r="A25" s="85">
        <v>19</v>
      </c>
      <c r="B25" s="85">
        <v>2649</v>
      </c>
      <c r="C25" s="86" t="s">
        <v>737</v>
      </c>
      <c r="D25" s="101" t="s">
        <v>121</v>
      </c>
      <c r="E25" s="101" t="s">
        <v>738</v>
      </c>
      <c r="F25" s="101" t="s">
        <v>147</v>
      </c>
      <c r="G25" s="84"/>
      <c r="H25" s="90"/>
      <c r="I25" s="90"/>
      <c r="J25" s="90"/>
      <c r="K25" s="90"/>
      <c r="L25" s="90"/>
      <c r="M25" s="76"/>
    </row>
    <row r="26" spans="1:13" ht="19.5" customHeight="1" x14ac:dyDescent="0.2">
      <c r="A26" s="85">
        <v>20</v>
      </c>
      <c r="B26" s="85">
        <v>2742</v>
      </c>
      <c r="C26" s="86">
        <v>571500031408</v>
      </c>
      <c r="D26" s="101" t="s">
        <v>121</v>
      </c>
      <c r="E26" s="101" t="s">
        <v>740</v>
      </c>
      <c r="F26" s="101" t="s">
        <v>103</v>
      </c>
      <c r="G26" s="102"/>
      <c r="H26" s="90"/>
      <c r="I26" s="90"/>
      <c r="J26" s="90"/>
      <c r="K26" s="90"/>
      <c r="L26" s="90"/>
      <c r="M26" s="76"/>
    </row>
    <row r="27" spans="1:13" ht="19.5" customHeight="1" x14ac:dyDescent="0.2">
      <c r="A27" s="85">
        <v>21</v>
      </c>
      <c r="B27" s="85">
        <v>2738</v>
      </c>
      <c r="C27" s="86">
        <v>1571500125281</v>
      </c>
      <c r="D27" s="101" t="s">
        <v>121</v>
      </c>
      <c r="E27" s="101" t="s">
        <v>275</v>
      </c>
      <c r="F27" s="101" t="s">
        <v>774</v>
      </c>
      <c r="G27" s="84"/>
      <c r="H27" s="90"/>
      <c r="I27" s="90"/>
      <c r="J27" s="90"/>
      <c r="K27" s="90"/>
      <c r="L27" s="90"/>
      <c r="M27" s="76"/>
    </row>
    <row r="28" spans="1:13" ht="19.5" customHeight="1" x14ac:dyDescent="0.2">
      <c r="A28" s="85">
        <v>22</v>
      </c>
      <c r="B28" s="85">
        <v>3097</v>
      </c>
      <c r="C28" s="86">
        <v>1579901624251</v>
      </c>
      <c r="D28" s="101" t="s">
        <v>121</v>
      </c>
      <c r="E28" s="101" t="s">
        <v>742</v>
      </c>
      <c r="F28" s="101" t="s">
        <v>743</v>
      </c>
      <c r="G28" s="84"/>
      <c r="H28" s="90"/>
      <c r="I28" s="90"/>
      <c r="J28" s="90"/>
      <c r="K28" s="90"/>
      <c r="L28" s="90"/>
      <c r="M28" s="76"/>
    </row>
    <row r="29" spans="1:13" ht="19.5" customHeight="1" x14ac:dyDescent="0.2">
      <c r="A29" s="85">
        <v>23</v>
      </c>
      <c r="B29" s="85">
        <v>3253</v>
      </c>
      <c r="C29" s="86">
        <v>1571500119851</v>
      </c>
      <c r="D29" s="101" t="s">
        <v>101</v>
      </c>
      <c r="E29" s="101" t="s">
        <v>1045</v>
      </c>
      <c r="F29" s="101" t="s">
        <v>1046</v>
      </c>
      <c r="G29" s="84" t="s">
        <v>50</v>
      </c>
      <c r="H29" s="90"/>
      <c r="I29" s="90"/>
      <c r="J29" s="90"/>
      <c r="K29" s="90"/>
      <c r="L29" s="90"/>
      <c r="M29" s="76"/>
    </row>
    <row r="30" spans="1:13" ht="19.5" customHeight="1" x14ac:dyDescent="0.2">
      <c r="A30" s="85">
        <v>24</v>
      </c>
      <c r="B30" s="85">
        <v>2953</v>
      </c>
      <c r="C30" s="91">
        <v>1577000019224</v>
      </c>
      <c r="D30" s="101" t="s">
        <v>121</v>
      </c>
      <c r="E30" s="101" t="s">
        <v>1034</v>
      </c>
      <c r="F30" s="101" t="s">
        <v>1035</v>
      </c>
      <c r="G30" s="84" t="s">
        <v>1088</v>
      </c>
      <c r="H30" s="90"/>
      <c r="I30" s="90"/>
      <c r="J30" s="90"/>
      <c r="K30" s="90"/>
      <c r="L30" s="90"/>
      <c r="M30" s="76"/>
    </row>
    <row r="31" spans="1:13" ht="19.5" customHeight="1" x14ac:dyDescent="0.2">
      <c r="A31" s="85"/>
      <c r="B31" s="85"/>
      <c r="C31" s="86"/>
      <c r="D31" s="101"/>
      <c r="E31" s="101"/>
      <c r="F31" s="101"/>
      <c r="G31" s="84"/>
      <c r="H31" s="90"/>
      <c r="I31" s="90"/>
      <c r="J31" s="90"/>
      <c r="K31" s="90"/>
      <c r="L31" s="90"/>
      <c r="M31" s="76"/>
    </row>
    <row r="32" spans="1:13" ht="19.5" customHeight="1" x14ac:dyDescent="0.2">
      <c r="A32" s="85"/>
      <c r="B32" s="85"/>
      <c r="C32" s="86"/>
      <c r="D32" s="101"/>
      <c r="E32" s="101"/>
      <c r="F32" s="101"/>
      <c r="G32" s="84"/>
      <c r="H32" s="90"/>
      <c r="I32" s="90"/>
      <c r="J32" s="90"/>
      <c r="K32" s="90"/>
      <c r="L32" s="90"/>
      <c r="M32" s="76"/>
    </row>
    <row r="33" spans="1:13" ht="19.5" customHeight="1" x14ac:dyDescent="0.2">
      <c r="A33" s="85"/>
      <c r="B33" s="85"/>
      <c r="C33" s="91"/>
      <c r="D33" s="101"/>
      <c r="E33" s="101"/>
      <c r="F33" s="101"/>
      <c r="G33" s="84"/>
      <c r="H33" s="90"/>
      <c r="I33" s="90"/>
      <c r="J33" s="90"/>
      <c r="K33" s="90"/>
      <c r="L33" s="90"/>
      <c r="M33" s="76"/>
    </row>
    <row r="34" spans="1:13" ht="19.5" customHeight="1" x14ac:dyDescent="0.2">
      <c r="A34" s="85"/>
      <c r="B34" s="85"/>
      <c r="C34" s="86"/>
      <c r="D34" s="101"/>
      <c r="E34" s="101"/>
      <c r="F34" s="101"/>
      <c r="G34" s="102"/>
      <c r="H34" s="90"/>
      <c r="I34" s="90"/>
      <c r="J34" s="90"/>
      <c r="K34" s="90"/>
      <c r="L34" s="90"/>
      <c r="M34" s="76"/>
    </row>
    <row r="35" spans="1:13" ht="19.5" customHeight="1" x14ac:dyDescent="0.2">
      <c r="A35" s="85"/>
      <c r="B35" s="85"/>
      <c r="C35" s="86"/>
      <c r="D35" s="101"/>
      <c r="E35" s="101"/>
      <c r="F35" s="101"/>
      <c r="G35" s="102"/>
      <c r="H35" s="90"/>
      <c r="I35" s="90"/>
      <c r="J35" s="90"/>
      <c r="K35" s="90"/>
      <c r="L35" s="90"/>
      <c r="M35" s="76"/>
    </row>
    <row r="36" spans="1:13" ht="19.5" customHeight="1" x14ac:dyDescent="0.2">
      <c r="A36" s="85"/>
      <c r="B36" s="82"/>
      <c r="C36" s="83"/>
      <c r="D36" s="106"/>
      <c r="E36" s="90"/>
      <c r="F36" s="90"/>
      <c r="G36" s="90"/>
      <c r="H36" s="90"/>
      <c r="I36" s="90"/>
      <c r="J36" s="90"/>
      <c r="K36" s="90"/>
      <c r="L36" s="90"/>
      <c r="M36" s="76"/>
    </row>
    <row r="37" spans="1:13" ht="19.5" customHeight="1" x14ac:dyDescent="0.2">
      <c r="A37" s="85"/>
      <c r="B37" s="82"/>
      <c r="C37" s="83"/>
      <c r="D37" s="106"/>
      <c r="E37" s="90"/>
      <c r="F37" s="90"/>
      <c r="G37" s="90"/>
      <c r="H37" s="90"/>
      <c r="I37" s="90"/>
      <c r="J37" s="90"/>
      <c r="K37" s="90"/>
      <c r="L37" s="90"/>
      <c r="M37" s="76"/>
    </row>
    <row r="38" spans="1:13" ht="19.5" customHeight="1" x14ac:dyDescent="0.2">
      <c r="A38" s="85"/>
      <c r="B38" s="82"/>
      <c r="C38" s="83"/>
      <c r="D38" s="106"/>
      <c r="E38" s="90"/>
      <c r="F38" s="90"/>
      <c r="G38" s="90"/>
      <c r="H38" s="90"/>
      <c r="I38" s="90"/>
      <c r="J38" s="90"/>
      <c r="K38" s="90"/>
      <c r="L38" s="90"/>
      <c r="M38" s="76"/>
    </row>
    <row r="39" spans="1:13" ht="19.5" customHeight="1" x14ac:dyDescent="0.2">
      <c r="A39" s="85"/>
      <c r="B39" s="82"/>
      <c r="C39" s="179" t="s">
        <v>1066</v>
      </c>
      <c r="D39" s="188">
        <f>COUNTIF(D7:D33,"เด็กชาย")</f>
        <v>10</v>
      </c>
      <c r="E39" s="90"/>
      <c r="F39" s="90"/>
      <c r="G39" s="90"/>
      <c r="H39" s="90"/>
      <c r="I39" s="90"/>
      <c r="J39" s="90"/>
      <c r="K39" s="90"/>
      <c r="L39" s="90"/>
      <c r="M39" s="76"/>
    </row>
    <row r="40" spans="1:13" ht="19.5" customHeight="1" x14ac:dyDescent="0.2">
      <c r="A40" s="82"/>
      <c r="B40" s="82"/>
      <c r="C40" s="179" t="s">
        <v>1067</v>
      </c>
      <c r="D40" s="188">
        <f>COUNTIF(D7:D33,"เด็กหญิง")</f>
        <v>14</v>
      </c>
      <c r="E40" s="118"/>
      <c r="F40" s="118"/>
      <c r="G40" s="82"/>
      <c r="H40" s="90"/>
      <c r="I40" s="82"/>
      <c r="J40" s="90"/>
      <c r="K40" s="82"/>
      <c r="L40" s="90"/>
      <c r="M40" s="76"/>
    </row>
    <row r="41" spans="1:13" ht="19.5" customHeight="1" x14ac:dyDescent="0.2">
      <c r="A41" s="82"/>
      <c r="B41" s="82"/>
      <c r="C41" s="179" t="s">
        <v>38</v>
      </c>
      <c r="D41" s="188">
        <f>SUM(D39:D40)</f>
        <v>24</v>
      </c>
      <c r="E41" s="118"/>
      <c r="F41" s="82"/>
      <c r="G41" s="90"/>
      <c r="H41" s="82"/>
      <c r="I41" s="90"/>
      <c r="J41" s="82"/>
      <c r="K41" s="90"/>
      <c r="L41" s="100" t="str">
        <f>'ป.1-ป.6'!L41</f>
        <v>วันที่ 21 พ.ค. 2569</v>
      </c>
      <c r="M41" s="76"/>
    </row>
    <row r="42" spans="1:13" ht="19.5" customHeight="1" x14ac:dyDescent="0.2">
      <c r="A42" s="234" t="s">
        <v>890</v>
      </c>
      <c r="B42" s="235"/>
      <c r="C42" s="235"/>
      <c r="D42" s="235"/>
      <c r="E42" s="235"/>
      <c r="F42" s="235"/>
      <c r="G42" s="235"/>
      <c r="H42" s="235"/>
      <c r="I42" s="235"/>
      <c r="J42" s="235"/>
      <c r="K42" s="235"/>
      <c r="L42" s="235"/>
    </row>
    <row r="43" spans="1:13" ht="19.5" customHeight="1" x14ac:dyDescent="0.2">
      <c r="A43" s="233" t="str">
        <f>A2</f>
        <v>ร่าง-รายชื่อนักเรียนปีการศึกษา 1/2569</v>
      </c>
      <c r="B43" s="233"/>
      <c r="C43" s="233"/>
      <c r="D43" s="233"/>
      <c r="E43" s="233"/>
      <c r="F43" s="233"/>
      <c r="G43" s="233"/>
      <c r="H43" s="233"/>
      <c r="I43" s="233"/>
      <c r="J43" s="233"/>
      <c r="K43" s="233"/>
      <c r="L43" s="233"/>
    </row>
    <row r="44" spans="1:13" ht="19.5" customHeight="1" x14ac:dyDescent="0.2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</row>
    <row r="45" spans="1:13" ht="19.5" customHeight="1" x14ac:dyDescent="0.2">
      <c r="A45" s="236" t="s">
        <v>916</v>
      </c>
      <c r="B45" s="236"/>
      <c r="C45" s="236"/>
      <c r="D45" s="237" t="s">
        <v>1026</v>
      </c>
      <c r="E45" s="237"/>
      <c r="F45" s="237"/>
      <c r="G45" s="237"/>
      <c r="H45" s="237"/>
      <c r="I45" s="237"/>
      <c r="J45" s="237"/>
      <c r="K45" s="237"/>
      <c r="L45" s="237"/>
    </row>
    <row r="46" spans="1:13" ht="19.5" customHeight="1" x14ac:dyDescent="0.2">
      <c r="A46" s="103"/>
      <c r="B46" s="103"/>
      <c r="C46" s="104"/>
      <c r="D46" s="80"/>
      <c r="E46" s="80"/>
      <c r="F46" s="105"/>
      <c r="G46" s="103"/>
      <c r="H46" s="103"/>
      <c r="I46" s="103"/>
      <c r="J46" s="103"/>
      <c r="K46" s="103"/>
      <c r="L46" s="103"/>
    </row>
    <row r="47" spans="1:13" ht="19.5" customHeight="1" x14ac:dyDescent="0.2">
      <c r="A47" s="82" t="s">
        <v>43</v>
      </c>
      <c r="B47" s="82" t="s">
        <v>44</v>
      </c>
      <c r="C47" s="83" t="s">
        <v>45</v>
      </c>
      <c r="D47" s="238" t="s">
        <v>892</v>
      </c>
      <c r="E47" s="239"/>
      <c r="F47" s="239"/>
      <c r="G47" s="84"/>
      <c r="H47" s="84"/>
      <c r="I47" s="84"/>
      <c r="J47" s="84"/>
      <c r="K47" s="84"/>
      <c r="L47" s="84"/>
    </row>
    <row r="48" spans="1:13" ht="19.5" customHeight="1" x14ac:dyDescent="0.2">
      <c r="A48" s="85">
        <v>1</v>
      </c>
      <c r="B48" s="85">
        <v>2685</v>
      </c>
      <c r="C48" s="86">
        <v>571500032056</v>
      </c>
      <c r="D48" s="101" t="s">
        <v>101</v>
      </c>
      <c r="E48" s="101" t="s">
        <v>219</v>
      </c>
      <c r="F48" s="101" t="s">
        <v>103</v>
      </c>
      <c r="G48" s="102"/>
      <c r="H48" s="90"/>
      <c r="I48" s="90"/>
      <c r="J48" s="90"/>
      <c r="K48" s="90"/>
      <c r="L48" s="90"/>
    </row>
    <row r="49" spans="1:12" ht="19.5" customHeight="1" x14ac:dyDescent="0.2">
      <c r="A49" s="85">
        <v>2</v>
      </c>
      <c r="B49" s="85">
        <v>2687</v>
      </c>
      <c r="C49" s="86">
        <v>571500001568</v>
      </c>
      <c r="D49" s="101" t="s">
        <v>101</v>
      </c>
      <c r="E49" s="101" t="s">
        <v>715</v>
      </c>
      <c r="F49" s="101" t="s">
        <v>103</v>
      </c>
      <c r="G49" s="84"/>
      <c r="H49" s="90"/>
      <c r="I49" s="90"/>
      <c r="J49" s="90"/>
      <c r="K49" s="90"/>
      <c r="L49" s="90"/>
    </row>
    <row r="50" spans="1:12" ht="19.5" customHeight="1" x14ac:dyDescent="0.2">
      <c r="A50" s="85">
        <v>3</v>
      </c>
      <c r="B50" s="85">
        <v>2688</v>
      </c>
      <c r="C50" s="86">
        <v>1571500127349</v>
      </c>
      <c r="D50" s="101" t="s">
        <v>101</v>
      </c>
      <c r="E50" s="101" t="s">
        <v>746</v>
      </c>
      <c r="F50" s="101" t="s">
        <v>747</v>
      </c>
      <c r="G50" s="84"/>
      <c r="H50" s="90"/>
      <c r="I50" s="90"/>
      <c r="J50" s="90"/>
      <c r="K50" s="90"/>
      <c r="L50" s="90"/>
    </row>
    <row r="51" spans="1:12" ht="19.5" customHeight="1" x14ac:dyDescent="0.2">
      <c r="A51" s="85">
        <v>4</v>
      </c>
      <c r="B51" s="85">
        <v>2697</v>
      </c>
      <c r="C51" s="91">
        <v>1571500126521</v>
      </c>
      <c r="D51" s="101" t="s">
        <v>101</v>
      </c>
      <c r="E51" s="101" t="s">
        <v>717</v>
      </c>
      <c r="F51" s="101" t="s">
        <v>718</v>
      </c>
      <c r="G51" s="84"/>
      <c r="H51" s="90"/>
      <c r="I51" s="90"/>
      <c r="J51" s="90"/>
      <c r="K51" s="90"/>
      <c r="L51" s="90"/>
    </row>
    <row r="52" spans="1:12" ht="19.5" customHeight="1" x14ac:dyDescent="0.2">
      <c r="A52" s="85">
        <v>5</v>
      </c>
      <c r="B52" s="85">
        <v>2708</v>
      </c>
      <c r="C52" s="86">
        <v>1571500123131</v>
      </c>
      <c r="D52" s="101" t="s">
        <v>101</v>
      </c>
      <c r="E52" s="101" t="s">
        <v>758</v>
      </c>
      <c r="F52" s="101" t="s">
        <v>570</v>
      </c>
      <c r="G52" s="84"/>
      <c r="H52" s="90"/>
      <c r="I52" s="90"/>
      <c r="J52" s="90"/>
      <c r="K52" s="90"/>
      <c r="L52" s="90"/>
    </row>
    <row r="53" spans="1:12" ht="19.5" customHeight="1" x14ac:dyDescent="0.2">
      <c r="A53" s="85">
        <v>6</v>
      </c>
      <c r="B53" s="85">
        <v>2713</v>
      </c>
      <c r="C53" s="92">
        <v>1571500125699</v>
      </c>
      <c r="D53" s="106" t="s">
        <v>101</v>
      </c>
      <c r="E53" s="90" t="s">
        <v>720</v>
      </c>
      <c r="F53" s="90" t="s">
        <v>362</v>
      </c>
      <c r="G53" s="84"/>
      <c r="H53" s="90"/>
      <c r="I53" s="90"/>
      <c r="J53" s="90"/>
      <c r="K53" s="90"/>
      <c r="L53" s="90"/>
    </row>
    <row r="54" spans="1:12" ht="19.5" customHeight="1" x14ac:dyDescent="0.2">
      <c r="A54" s="85">
        <v>7</v>
      </c>
      <c r="B54" s="85">
        <v>2711</v>
      </c>
      <c r="C54" s="91">
        <v>7579900084104</v>
      </c>
      <c r="D54" s="101" t="s">
        <v>101</v>
      </c>
      <c r="E54" s="101" t="s">
        <v>760</v>
      </c>
      <c r="F54" s="101" t="s">
        <v>761</v>
      </c>
      <c r="G54" s="84"/>
      <c r="H54" s="90"/>
      <c r="I54" s="90"/>
      <c r="J54" s="90"/>
      <c r="K54" s="90"/>
      <c r="L54" s="90"/>
    </row>
    <row r="55" spans="1:12" ht="19.5" customHeight="1" x14ac:dyDescent="0.2">
      <c r="A55" s="85">
        <v>8</v>
      </c>
      <c r="B55" s="85">
        <v>2712</v>
      </c>
      <c r="C55" s="86">
        <v>1571500123661</v>
      </c>
      <c r="D55" s="101" t="s">
        <v>101</v>
      </c>
      <c r="E55" s="101" t="s">
        <v>762</v>
      </c>
      <c r="F55" s="101" t="s">
        <v>207</v>
      </c>
      <c r="G55" s="84"/>
      <c r="H55" s="90"/>
      <c r="I55" s="90"/>
      <c r="J55" s="90"/>
      <c r="K55" s="90"/>
      <c r="L55" s="90"/>
    </row>
    <row r="56" spans="1:12" ht="19.5" customHeight="1" x14ac:dyDescent="0.2">
      <c r="A56" s="85">
        <v>9</v>
      </c>
      <c r="B56" s="85">
        <v>2715</v>
      </c>
      <c r="C56" s="86">
        <v>1571500124501</v>
      </c>
      <c r="D56" s="101" t="s">
        <v>101</v>
      </c>
      <c r="E56" s="120" t="s">
        <v>725</v>
      </c>
      <c r="F56" s="120" t="s">
        <v>497</v>
      </c>
      <c r="G56" s="84"/>
      <c r="H56" s="90"/>
      <c r="I56" s="90"/>
      <c r="J56" s="90"/>
      <c r="K56" s="90"/>
      <c r="L56" s="90"/>
    </row>
    <row r="57" spans="1:12" ht="19.5" customHeight="1" x14ac:dyDescent="0.2">
      <c r="A57" s="85">
        <v>10</v>
      </c>
      <c r="B57" s="85">
        <v>2714</v>
      </c>
      <c r="C57" s="86">
        <v>7508000009245</v>
      </c>
      <c r="D57" s="101" t="s">
        <v>101</v>
      </c>
      <c r="E57" s="101" t="s">
        <v>723</v>
      </c>
      <c r="F57" s="101" t="s">
        <v>724</v>
      </c>
      <c r="G57" s="84"/>
      <c r="H57" s="90"/>
      <c r="I57" s="90"/>
      <c r="J57" s="90"/>
      <c r="K57" s="90"/>
      <c r="L57" s="90"/>
    </row>
    <row r="58" spans="1:12" ht="19.5" customHeight="1" x14ac:dyDescent="0.2">
      <c r="A58" s="85">
        <v>11</v>
      </c>
      <c r="B58" s="85">
        <v>2718</v>
      </c>
      <c r="C58" s="86">
        <v>1909803921789</v>
      </c>
      <c r="D58" s="101" t="s">
        <v>121</v>
      </c>
      <c r="E58" s="101" t="s">
        <v>726</v>
      </c>
      <c r="F58" s="101" t="s">
        <v>175</v>
      </c>
      <c r="G58" s="84"/>
      <c r="H58" s="90"/>
      <c r="I58" s="90"/>
      <c r="J58" s="90"/>
      <c r="K58" s="90"/>
      <c r="L58" s="90"/>
    </row>
    <row r="59" spans="1:12" ht="19.5" customHeight="1" x14ac:dyDescent="0.2">
      <c r="A59" s="85">
        <v>12</v>
      </c>
      <c r="B59" s="85">
        <v>2725</v>
      </c>
      <c r="C59" s="86">
        <v>1571500123971</v>
      </c>
      <c r="D59" s="101" t="s">
        <v>121</v>
      </c>
      <c r="E59" s="101" t="s">
        <v>730</v>
      </c>
      <c r="F59" s="101" t="s">
        <v>731</v>
      </c>
      <c r="G59" s="84"/>
      <c r="H59" s="90"/>
      <c r="I59" s="90"/>
      <c r="J59" s="90"/>
      <c r="K59" s="90"/>
      <c r="L59" s="90"/>
    </row>
    <row r="60" spans="1:12" ht="19.5" customHeight="1" x14ac:dyDescent="0.2">
      <c r="A60" s="85">
        <v>13</v>
      </c>
      <c r="B60" s="85">
        <v>2727</v>
      </c>
      <c r="C60" s="86">
        <v>571500002181</v>
      </c>
      <c r="D60" s="101" t="s">
        <v>121</v>
      </c>
      <c r="E60" s="101" t="s">
        <v>732</v>
      </c>
      <c r="F60" s="101" t="s">
        <v>229</v>
      </c>
      <c r="G60" s="84"/>
      <c r="H60" s="90"/>
      <c r="I60" s="90"/>
      <c r="J60" s="90"/>
      <c r="K60" s="90"/>
      <c r="L60" s="90"/>
    </row>
    <row r="61" spans="1:12" ht="19.5" customHeight="1" x14ac:dyDescent="0.2">
      <c r="A61" s="85">
        <v>14</v>
      </c>
      <c r="B61" s="85">
        <v>2729</v>
      </c>
      <c r="C61" s="86">
        <v>571500038160</v>
      </c>
      <c r="D61" s="101" t="s">
        <v>121</v>
      </c>
      <c r="E61" s="101" t="s">
        <v>509</v>
      </c>
      <c r="F61" s="101" t="s">
        <v>103</v>
      </c>
      <c r="G61" s="84"/>
      <c r="H61" s="90"/>
      <c r="I61" s="90"/>
      <c r="J61" s="90"/>
      <c r="K61" s="90"/>
      <c r="L61" s="90"/>
    </row>
    <row r="62" spans="1:12" ht="19.5" customHeight="1" x14ac:dyDescent="0.2">
      <c r="A62" s="85">
        <v>15</v>
      </c>
      <c r="B62" s="85">
        <v>2731</v>
      </c>
      <c r="C62" s="86" t="s">
        <v>768</v>
      </c>
      <c r="D62" s="101" t="s">
        <v>121</v>
      </c>
      <c r="E62" s="101" t="s">
        <v>769</v>
      </c>
      <c r="F62" s="101" t="s">
        <v>770</v>
      </c>
      <c r="G62" s="84"/>
      <c r="H62" s="90"/>
      <c r="I62" s="90"/>
      <c r="J62" s="90"/>
      <c r="K62" s="90"/>
      <c r="L62" s="90"/>
    </row>
    <row r="63" spans="1:12" ht="19.5" customHeight="1" x14ac:dyDescent="0.2">
      <c r="A63" s="85">
        <v>16</v>
      </c>
      <c r="B63" s="85">
        <v>2737</v>
      </c>
      <c r="C63" s="86">
        <v>1571500127705</v>
      </c>
      <c r="D63" s="101" t="s">
        <v>121</v>
      </c>
      <c r="E63" s="101" t="s">
        <v>739</v>
      </c>
      <c r="F63" s="101" t="s">
        <v>134</v>
      </c>
      <c r="G63" s="102"/>
      <c r="H63" s="90"/>
      <c r="I63" s="90"/>
      <c r="J63" s="90"/>
      <c r="K63" s="90"/>
      <c r="L63" s="90"/>
    </row>
    <row r="64" spans="1:12" ht="19.5" customHeight="1" x14ac:dyDescent="0.2">
      <c r="A64" s="85">
        <v>17</v>
      </c>
      <c r="B64" s="85">
        <v>2739</v>
      </c>
      <c r="C64" s="93">
        <v>1571500123327</v>
      </c>
      <c r="D64" s="107" t="s">
        <v>121</v>
      </c>
      <c r="E64" s="95" t="s">
        <v>741</v>
      </c>
      <c r="F64" s="95" t="s">
        <v>613</v>
      </c>
      <c r="G64" s="84"/>
      <c r="H64" s="90"/>
      <c r="I64" s="90"/>
      <c r="J64" s="90"/>
      <c r="K64" s="90"/>
      <c r="L64" s="90"/>
    </row>
    <row r="65" spans="1:12" ht="19.5" customHeight="1" x14ac:dyDescent="0.2">
      <c r="A65" s="85">
        <v>18</v>
      </c>
      <c r="B65" s="85">
        <v>2740</v>
      </c>
      <c r="C65" s="86">
        <v>1579901631533</v>
      </c>
      <c r="D65" s="101" t="s">
        <v>121</v>
      </c>
      <c r="E65" s="101" t="s">
        <v>775</v>
      </c>
      <c r="F65" s="101" t="s">
        <v>173</v>
      </c>
      <c r="G65" s="84"/>
      <c r="H65" s="90"/>
      <c r="I65" s="90"/>
      <c r="J65" s="90"/>
      <c r="K65" s="90"/>
      <c r="L65" s="90"/>
    </row>
    <row r="66" spans="1:12" ht="19.5" customHeight="1" x14ac:dyDescent="0.2">
      <c r="A66" s="85">
        <v>19</v>
      </c>
      <c r="B66" s="85">
        <v>2741</v>
      </c>
      <c r="C66" s="86">
        <v>1571500125427</v>
      </c>
      <c r="D66" s="101" t="s">
        <v>121</v>
      </c>
      <c r="E66" s="101" t="s">
        <v>776</v>
      </c>
      <c r="F66" s="101" t="s">
        <v>393</v>
      </c>
      <c r="G66" s="102"/>
      <c r="H66" s="90"/>
      <c r="I66" s="90"/>
      <c r="J66" s="90"/>
      <c r="K66" s="90"/>
      <c r="L66" s="90"/>
    </row>
    <row r="67" spans="1:12" ht="19.5" customHeight="1" x14ac:dyDescent="0.2">
      <c r="A67" s="85">
        <v>20</v>
      </c>
      <c r="B67" s="82">
        <v>2743</v>
      </c>
      <c r="C67" s="92">
        <v>1571500126148</v>
      </c>
      <c r="D67" s="106" t="s">
        <v>121</v>
      </c>
      <c r="E67" s="90" t="s">
        <v>744</v>
      </c>
      <c r="F67" s="90" t="s">
        <v>659</v>
      </c>
      <c r="G67" s="84"/>
      <c r="H67" s="90"/>
      <c r="I67" s="90"/>
      <c r="J67" s="90"/>
      <c r="K67" s="90"/>
      <c r="L67" s="90"/>
    </row>
    <row r="68" spans="1:12" ht="19.5" customHeight="1" x14ac:dyDescent="0.2">
      <c r="A68" s="85">
        <v>21</v>
      </c>
      <c r="B68" s="85">
        <v>2744</v>
      </c>
      <c r="C68" s="86">
        <v>571500037996</v>
      </c>
      <c r="D68" s="101" t="s">
        <v>121</v>
      </c>
      <c r="E68" s="101" t="s">
        <v>396</v>
      </c>
      <c r="F68" s="101" t="s">
        <v>462</v>
      </c>
      <c r="G68" s="84"/>
      <c r="H68" s="90"/>
      <c r="I68" s="90"/>
      <c r="J68" s="90"/>
      <c r="K68" s="90"/>
      <c r="L68" s="90"/>
    </row>
    <row r="69" spans="1:12" ht="19.5" customHeight="1" x14ac:dyDescent="0.2">
      <c r="A69" s="85">
        <v>22</v>
      </c>
      <c r="B69" s="85">
        <v>2746</v>
      </c>
      <c r="C69" s="86">
        <v>1571500125702</v>
      </c>
      <c r="D69" s="101" t="s">
        <v>121</v>
      </c>
      <c r="E69" s="101" t="s">
        <v>487</v>
      </c>
      <c r="F69" s="101" t="s">
        <v>561</v>
      </c>
      <c r="G69" s="84"/>
      <c r="H69" s="90"/>
      <c r="I69" s="90"/>
      <c r="J69" s="90"/>
      <c r="K69" s="90"/>
      <c r="L69" s="90"/>
    </row>
    <row r="70" spans="1:12" ht="19.5" customHeight="1" x14ac:dyDescent="0.2">
      <c r="A70" s="85">
        <v>23</v>
      </c>
      <c r="B70" s="85">
        <v>2745</v>
      </c>
      <c r="C70" s="86">
        <v>1579901632564</v>
      </c>
      <c r="D70" s="101" t="s">
        <v>121</v>
      </c>
      <c r="E70" s="101" t="s">
        <v>745</v>
      </c>
      <c r="F70" s="101" t="s">
        <v>290</v>
      </c>
      <c r="G70" s="84"/>
      <c r="H70" s="90"/>
      <c r="I70" s="90"/>
      <c r="J70" s="90"/>
      <c r="K70" s="90"/>
      <c r="L70" s="90"/>
    </row>
    <row r="71" spans="1:12" ht="19.5" customHeight="1" x14ac:dyDescent="0.2">
      <c r="A71" s="85">
        <v>24</v>
      </c>
      <c r="B71" s="85">
        <v>2630</v>
      </c>
      <c r="C71" s="91">
        <v>1100401604702</v>
      </c>
      <c r="D71" s="101" t="s">
        <v>121</v>
      </c>
      <c r="E71" s="101" t="s">
        <v>814</v>
      </c>
      <c r="F71" s="101" t="s">
        <v>815</v>
      </c>
      <c r="G71" s="84" t="s">
        <v>1057</v>
      </c>
      <c r="H71" s="90"/>
      <c r="I71" s="90"/>
      <c r="J71" s="90"/>
      <c r="K71" s="90"/>
      <c r="L71" s="90"/>
    </row>
    <row r="72" spans="1:12" ht="19.5" customHeight="1" x14ac:dyDescent="0.2">
      <c r="A72" s="85"/>
      <c r="B72" s="85"/>
      <c r="C72" s="86"/>
      <c r="D72" s="101"/>
      <c r="E72" s="101"/>
      <c r="F72" s="101"/>
      <c r="G72" s="84"/>
      <c r="H72" s="90"/>
      <c r="I72" s="90"/>
      <c r="J72" s="90"/>
      <c r="K72" s="90"/>
      <c r="L72" s="90"/>
    </row>
    <row r="73" spans="1:12" ht="19.5" customHeight="1" x14ac:dyDescent="0.2">
      <c r="A73" s="85"/>
      <c r="B73" s="85"/>
      <c r="C73" s="86"/>
      <c r="D73" s="101"/>
      <c r="E73" s="101"/>
      <c r="F73" s="101"/>
      <c r="G73" s="84"/>
      <c r="H73" s="90"/>
      <c r="I73" s="90"/>
      <c r="J73" s="90"/>
      <c r="K73" s="90"/>
      <c r="L73" s="90"/>
    </row>
    <row r="74" spans="1:12" ht="19.5" customHeight="1" x14ac:dyDescent="0.2">
      <c r="A74" s="85"/>
      <c r="B74" s="85"/>
      <c r="C74" s="86"/>
      <c r="D74" s="101"/>
      <c r="E74" s="101"/>
      <c r="F74" s="101"/>
      <c r="G74" s="84"/>
      <c r="H74" s="90"/>
      <c r="I74" s="90"/>
      <c r="J74" s="90"/>
      <c r="K74" s="90"/>
      <c r="L74" s="90"/>
    </row>
    <row r="75" spans="1:12" ht="19.5" customHeight="1" x14ac:dyDescent="0.2">
      <c r="A75" s="85"/>
      <c r="B75" s="85"/>
      <c r="C75" s="91"/>
      <c r="D75" s="101"/>
      <c r="E75" s="101"/>
      <c r="F75" s="101"/>
      <c r="G75" s="84"/>
      <c r="H75" s="90"/>
      <c r="I75" s="90"/>
      <c r="J75" s="90"/>
      <c r="K75" s="90"/>
      <c r="L75" s="90"/>
    </row>
    <row r="76" spans="1:12" ht="19.5" customHeight="1" x14ac:dyDescent="0.2">
      <c r="A76" s="85"/>
      <c r="B76" s="85"/>
      <c r="C76" s="86"/>
      <c r="D76" s="101"/>
      <c r="E76" s="101"/>
      <c r="F76" s="101"/>
      <c r="G76" s="102"/>
      <c r="H76" s="90"/>
      <c r="I76" s="90"/>
      <c r="J76" s="90"/>
      <c r="K76" s="90"/>
      <c r="L76" s="90"/>
    </row>
    <row r="77" spans="1:12" ht="19.5" customHeight="1" x14ac:dyDescent="0.2">
      <c r="A77" s="85"/>
      <c r="B77" s="85"/>
      <c r="C77" s="86"/>
      <c r="D77" s="101"/>
      <c r="E77" s="101"/>
      <c r="F77" s="101"/>
      <c r="G77" s="90"/>
      <c r="H77" s="90"/>
      <c r="I77" s="90"/>
      <c r="J77" s="90"/>
      <c r="K77" s="90"/>
      <c r="L77" s="90"/>
    </row>
    <row r="78" spans="1:12" ht="19.5" customHeight="1" x14ac:dyDescent="0.2">
      <c r="A78" s="85"/>
      <c r="B78" s="82"/>
      <c r="C78" s="83"/>
      <c r="D78" s="106"/>
      <c r="E78" s="90"/>
      <c r="F78" s="90"/>
      <c r="G78" s="90"/>
      <c r="H78" s="90"/>
      <c r="I78" s="90"/>
      <c r="J78" s="90"/>
      <c r="K78" s="90"/>
      <c r="L78" s="90"/>
    </row>
    <row r="79" spans="1:12" ht="19.5" customHeight="1" x14ac:dyDescent="0.2">
      <c r="A79" s="85"/>
      <c r="B79" s="82"/>
      <c r="C79" s="83"/>
      <c r="D79" s="106"/>
      <c r="E79" s="90"/>
      <c r="F79" s="90"/>
      <c r="G79" s="90"/>
      <c r="H79" s="90"/>
      <c r="I79" s="90"/>
      <c r="J79" s="90"/>
      <c r="K79" s="90"/>
      <c r="L79" s="90"/>
    </row>
    <row r="80" spans="1:12" ht="19.5" customHeight="1" x14ac:dyDescent="0.2">
      <c r="A80" s="85"/>
      <c r="B80" s="82"/>
      <c r="C80" s="179" t="s">
        <v>1066</v>
      </c>
      <c r="D80" s="188">
        <f>COUNTIF(D48:D74,"เด็กชาย")</f>
        <v>10</v>
      </c>
      <c r="E80" s="90"/>
      <c r="F80" s="90"/>
      <c r="G80" s="90"/>
      <c r="H80" s="90"/>
      <c r="I80" s="90"/>
      <c r="J80" s="90"/>
      <c r="K80" s="90"/>
      <c r="L80" s="90"/>
    </row>
    <row r="81" spans="1:12" ht="19.5" customHeight="1" x14ac:dyDescent="0.2">
      <c r="A81" s="82"/>
      <c r="B81" s="82"/>
      <c r="C81" s="179" t="s">
        <v>1067</v>
      </c>
      <c r="D81" s="188">
        <f>COUNTIF(D48:D74,"เด็กหญิง")</f>
        <v>14</v>
      </c>
      <c r="E81" s="118"/>
      <c r="F81" s="118"/>
      <c r="G81" s="82"/>
      <c r="H81" s="90"/>
      <c r="I81" s="82"/>
      <c r="J81" s="90"/>
      <c r="K81" s="82"/>
      <c r="L81" s="90"/>
    </row>
    <row r="82" spans="1:12" ht="19.5" customHeight="1" x14ac:dyDescent="0.2">
      <c r="A82" s="82"/>
      <c r="B82" s="82"/>
      <c r="C82" s="179" t="s">
        <v>38</v>
      </c>
      <c r="D82" s="188">
        <f>SUM(D80:D81)</f>
        <v>24</v>
      </c>
      <c r="E82" s="118"/>
      <c r="F82" s="82"/>
      <c r="G82" s="90"/>
      <c r="H82" s="82"/>
      <c r="I82" s="90"/>
      <c r="J82" s="82"/>
      <c r="K82" s="90"/>
      <c r="L82" s="100" t="str">
        <f>L41</f>
        <v>วันที่ 21 พ.ค. 2569</v>
      </c>
    </row>
    <row r="83" spans="1:12" ht="19.5" customHeight="1" x14ac:dyDescent="0.2">
      <c r="A83" s="234" t="s">
        <v>890</v>
      </c>
      <c r="B83" s="235"/>
      <c r="C83" s="235"/>
      <c r="D83" s="235"/>
      <c r="E83" s="235"/>
      <c r="F83" s="235"/>
      <c r="G83" s="235"/>
      <c r="H83" s="235"/>
      <c r="I83" s="235"/>
      <c r="J83" s="235"/>
      <c r="K83" s="235"/>
      <c r="L83" s="235"/>
    </row>
    <row r="84" spans="1:12" ht="19.5" customHeight="1" x14ac:dyDescent="0.2">
      <c r="A84" s="233" t="str">
        <f>A43</f>
        <v>ร่าง-รายชื่อนักเรียนปีการศึกษา 1/2569</v>
      </c>
      <c r="B84" s="233"/>
      <c r="C84" s="233"/>
      <c r="D84" s="233"/>
      <c r="E84" s="233"/>
      <c r="F84" s="233"/>
      <c r="G84" s="233"/>
      <c r="H84" s="233"/>
      <c r="I84" s="233"/>
      <c r="J84" s="233"/>
      <c r="K84" s="233"/>
      <c r="L84" s="233"/>
    </row>
    <row r="85" spans="1:12" ht="19.5" customHeight="1" x14ac:dyDescent="0.2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</row>
    <row r="86" spans="1:12" ht="19.5" customHeight="1" x14ac:dyDescent="0.2">
      <c r="A86" s="236" t="s">
        <v>917</v>
      </c>
      <c r="B86" s="236"/>
      <c r="C86" s="236"/>
      <c r="D86" s="237" t="s">
        <v>1028</v>
      </c>
      <c r="E86" s="237"/>
      <c r="F86" s="237"/>
      <c r="G86" s="237"/>
      <c r="H86" s="237"/>
      <c r="I86" s="237"/>
      <c r="J86" s="237"/>
      <c r="K86" s="237"/>
      <c r="L86" s="237"/>
    </row>
    <row r="87" spans="1:12" ht="19.5" customHeight="1" x14ac:dyDescent="0.2">
      <c r="A87" s="103"/>
      <c r="B87" s="103"/>
      <c r="C87" s="104"/>
      <c r="D87" s="80"/>
      <c r="E87" s="80"/>
      <c r="F87" s="105"/>
      <c r="G87" s="103"/>
      <c r="H87" s="103"/>
      <c r="I87" s="103"/>
      <c r="J87" s="103"/>
      <c r="K87" s="103"/>
      <c r="L87" s="103"/>
    </row>
    <row r="88" spans="1:12" ht="19.5" customHeight="1" x14ac:dyDescent="0.2">
      <c r="A88" s="82" t="s">
        <v>43</v>
      </c>
      <c r="B88" s="82" t="s">
        <v>44</v>
      </c>
      <c r="C88" s="83" t="s">
        <v>45</v>
      </c>
      <c r="D88" s="238" t="s">
        <v>892</v>
      </c>
      <c r="E88" s="239"/>
      <c r="F88" s="239"/>
      <c r="G88" s="84"/>
      <c r="H88" s="84"/>
      <c r="I88" s="84"/>
      <c r="J88" s="84"/>
      <c r="K88" s="84"/>
      <c r="L88" s="84"/>
    </row>
    <row r="89" spans="1:12" ht="19.5" customHeight="1" x14ac:dyDescent="0.2">
      <c r="A89" s="85">
        <v>1</v>
      </c>
      <c r="B89" s="85">
        <v>2597</v>
      </c>
      <c r="C89" s="86">
        <v>1579901568467</v>
      </c>
      <c r="D89" s="101" t="s">
        <v>101</v>
      </c>
      <c r="E89" s="101" t="s">
        <v>778</v>
      </c>
      <c r="F89" s="101" t="s">
        <v>529</v>
      </c>
      <c r="G89" s="102"/>
      <c r="H89" s="90"/>
      <c r="I89" s="90"/>
      <c r="J89" s="90"/>
      <c r="K89" s="90"/>
      <c r="L89" s="90"/>
    </row>
    <row r="90" spans="1:12" ht="19.5" customHeight="1" x14ac:dyDescent="0.2">
      <c r="A90" s="85">
        <v>2</v>
      </c>
      <c r="B90" s="85">
        <v>2598</v>
      </c>
      <c r="C90" s="86">
        <v>1571500119958</v>
      </c>
      <c r="D90" s="101" t="s">
        <v>101</v>
      </c>
      <c r="E90" s="101" t="s">
        <v>779</v>
      </c>
      <c r="F90" s="101" t="s">
        <v>633</v>
      </c>
      <c r="G90" s="84"/>
      <c r="H90" s="90"/>
      <c r="I90" s="90"/>
      <c r="J90" s="90"/>
      <c r="K90" s="90"/>
      <c r="L90" s="90"/>
    </row>
    <row r="91" spans="1:12" ht="19.5" customHeight="1" x14ac:dyDescent="0.2">
      <c r="A91" s="85">
        <v>3</v>
      </c>
      <c r="B91" s="85">
        <v>3089</v>
      </c>
      <c r="C91" s="86" t="s">
        <v>780</v>
      </c>
      <c r="D91" s="101" t="s">
        <v>101</v>
      </c>
      <c r="E91" s="101" t="s">
        <v>781</v>
      </c>
      <c r="F91" s="101" t="s">
        <v>103</v>
      </c>
      <c r="G91" s="84"/>
      <c r="H91" s="90"/>
      <c r="I91" s="90"/>
      <c r="J91" s="90"/>
      <c r="K91" s="90"/>
      <c r="L91" s="90"/>
    </row>
    <row r="92" spans="1:12" ht="19.5" customHeight="1" x14ac:dyDescent="0.2">
      <c r="A92" s="85">
        <v>4</v>
      </c>
      <c r="B92" s="85">
        <v>2600</v>
      </c>
      <c r="C92" s="91">
        <v>571500038453</v>
      </c>
      <c r="D92" s="101" t="s">
        <v>101</v>
      </c>
      <c r="E92" s="101" t="s">
        <v>412</v>
      </c>
      <c r="F92" s="101" t="s">
        <v>103</v>
      </c>
      <c r="G92" s="84"/>
      <c r="H92" s="90"/>
      <c r="I92" s="90"/>
      <c r="J92" s="90"/>
      <c r="K92" s="90"/>
      <c r="L92" s="90"/>
    </row>
    <row r="93" spans="1:12" ht="19.5" customHeight="1" x14ac:dyDescent="0.2">
      <c r="A93" s="85">
        <v>5</v>
      </c>
      <c r="B93" s="85">
        <v>2604</v>
      </c>
      <c r="C93" s="86">
        <v>1579901559964</v>
      </c>
      <c r="D93" s="101" t="s">
        <v>101</v>
      </c>
      <c r="E93" s="101" t="s">
        <v>716</v>
      </c>
      <c r="F93" s="101" t="s">
        <v>462</v>
      </c>
      <c r="G93" s="84"/>
      <c r="H93" s="90"/>
      <c r="I93" s="90"/>
      <c r="J93" s="90"/>
      <c r="K93" s="90"/>
      <c r="L93" s="90"/>
    </row>
    <row r="94" spans="1:12" ht="19.5" customHeight="1" x14ac:dyDescent="0.2">
      <c r="A94" s="85">
        <v>6</v>
      </c>
      <c r="B94" s="85">
        <v>2810</v>
      </c>
      <c r="C94" s="86">
        <v>7571500117695</v>
      </c>
      <c r="D94" s="101" t="s">
        <v>101</v>
      </c>
      <c r="E94" s="101" t="s">
        <v>782</v>
      </c>
      <c r="F94" s="101" t="s">
        <v>783</v>
      </c>
      <c r="G94" s="84"/>
      <c r="H94" s="90"/>
      <c r="I94" s="90"/>
      <c r="J94" s="90"/>
      <c r="K94" s="90"/>
      <c r="L94" s="90"/>
    </row>
    <row r="95" spans="1:12" ht="19.5" customHeight="1" x14ac:dyDescent="0.2">
      <c r="A95" s="85">
        <v>7</v>
      </c>
      <c r="B95" s="85">
        <v>2610</v>
      </c>
      <c r="C95" s="91">
        <v>1909803811185</v>
      </c>
      <c r="D95" s="101" t="s">
        <v>101</v>
      </c>
      <c r="E95" s="101" t="s">
        <v>784</v>
      </c>
      <c r="F95" s="101" t="s">
        <v>175</v>
      </c>
      <c r="G95" s="84"/>
      <c r="H95" s="90"/>
      <c r="I95" s="90"/>
      <c r="J95" s="90"/>
      <c r="K95" s="90"/>
      <c r="L95" s="90"/>
    </row>
    <row r="96" spans="1:12" ht="19.5" customHeight="1" x14ac:dyDescent="0.2">
      <c r="A96" s="85">
        <v>8</v>
      </c>
      <c r="B96" s="85">
        <v>2612</v>
      </c>
      <c r="C96" s="92">
        <v>1579901536115</v>
      </c>
      <c r="D96" s="106" t="s">
        <v>101</v>
      </c>
      <c r="E96" s="90" t="s">
        <v>785</v>
      </c>
      <c r="F96" s="90" t="s">
        <v>251</v>
      </c>
      <c r="G96" s="84"/>
      <c r="H96" s="90"/>
      <c r="I96" s="90"/>
      <c r="J96" s="90"/>
      <c r="K96" s="90"/>
      <c r="L96" s="90"/>
    </row>
    <row r="97" spans="1:12" ht="19.5" customHeight="1" x14ac:dyDescent="0.2">
      <c r="A97" s="85">
        <v>9</v>
      </c>
      <c r="B97" s="85">
        <v>2206</v>
      </c>
      <c r="C97" s="91">
        <v>7571500110216</v>
      </c>
      <c r="D97" s="101" t="s">
        <v>101</v>
      </c>
      <c r="E97" s="101" t="s">
        <v>786</v>
      </c>
      <c r="F97" s="101" t="s">
        <v>787</v>
      </c>
      <c r="G97" s="84"/>
      <c r="H97" s="90"/>
      <c r="I97" s="90"/>
      <c r="J97" s="90"/>
      <c r="K97" s="90"/>
      <c r="L97" s="90"/>
    </row>
    <row r="98" spans="1:12" ht="19.5" customHeight="1" x14ac:dyDescent="0.2">
      <c r="A98" s="85">
        <v>10</v>
      </c>
      <c r="B98" s="85">
        <v>2614</v>
      </c>
      <c r="C98" s="86">
        <v>1579901562027</v>
      </c>
      <c r="D98" s="101" t="s">
        <v>101</v>
      </c>
      <c r="E98" s="101" t="s">
        <v>788</v>
      </c>
      <c r="F98" s="101" t="s">
        <v>295</v>
      </c>
      <c r="G98" s="84"/>
      <c r="H98" s="90"/>
      <c r="I98" s="90"/>
      <c r="J98" s="90"/>
      <c r="K98" s="90"/>
      <c r="L98" s="90"/>
    </row>
    <row r="99" spans="1:12" ht="19.5" customHeight="1" x14ac:dyDescent="0.2">
      <c r="A99" s="85">
        <v>11</v>
      </c>
      <c r="B99" s="85">
        <v>2619</v>
      </c>
      <c r="C99" s="86">
        <v>1571500119206</v>
      </c>
      <c r="D99" s="101" t="s">
        <v>101</v>
      </c>
      <c r="E99" s="101" t="s">
        <v>789</v>
      </c>
      <c r="F99" s="101" t="s">
        <v>570</v>
      </c>
      <c r="G99" s="84"/>
      <c r="H99" s="90"/>
      <c r="I99" s="90"/>
      <c r="J99" s="90"/>
      <c r="K99" s="90"/>
      <c r="L99" s="90"/>
    </row>
    <row r="100" spans="1:12" ht="19.5" customHeight="1" x14ac:dyDescent="0.2">
      <c r="A100" s="85">
        <v>12</v>
      </c>
      <c r="B100" s="85">
        <v>2504</v>
      </c>
      <c r="C100" s="86">
        <v>1571500112767</v>
      </c>
      <c r="D100" s="101" t="s">
        <v>101</v>
      </c>
      <c r="E100" s="101" t="s">
        <v>790</v>
      </c>
      <c r="F100" s="101" t="s">
        <v>787</v>
      </c>
      <c r="G100" s="84"/>
      <c r="H100" s="90"/>
      <c r="I100" s="90"/>
      <c r="J100" s="90"/>
      <c r="K100" s="90"/>
      <c r="L100" s="90"/>
    </row>
    <row r="101" spans="1:12" ht="19.5" customHeight="1" x14ac:dyDescent="0.2">
      <c r="A101" s="85">
        <v>13</v>
      </c>
      <c r="B101" s="85">
        <v>2625</v>
      </c>
      <c r="C101" s="86">
        <v>7571500117857</v>
      </c>
      <c r="D101" s="101" t="s">
        <v>101</v>
      </c>
      <c r="E101" s="101" t="s">
        <v>502</v>
      </c>
      <c r="F101" s="101" t="s">
        <v>166</v>
      </c>
      <c r="G101" s="84"/>
      <c r="H101" s="90"/>
      <c r="I101" s="90"/>
      <c r="J101" s="90"/>
      <c r="K101" s="90"/>
      <c r="L101" s="90"/>
    </row>
    <row r="102" spans="1:12" ht="19.5" customHeight="1" x14ac:dyDescent="0.2">
      <c r="A102" s="85">
        <v>14</v>
      </c>
      <c r="B102" s="85">
        <v>2627</v>
      </c>
      <c r="C102" s="86">
        <v>571500031513</v>
      </c>
      <c r="D102" s="101" t="s">
        <v>101</v>
      </c>
      <c r="E102" s="101" t="s">
        <v>791</v>
      </c>
      <c r="F102" s="101" t="s">
        <v>103</v>
      </c>
      <c r="G102" s="84"/>
      <c r="H102" s="90"/>
      <c r="I102" s="90"/>
      <c r="J102" s="90"/>
      <c r="K102" s="90"/>
      <c r="L102" s="90"/>
    </row>
    <row r="103" spans="1:12" ht="19.5" customHeight="1" x14ac:dyDescent="0.2">
      <c r="A103" s="85">
        <v>15</v>
      </c>
      <c r="B103" s="85">
        <v>2631</v>
      </c>
      <c r="C103" s="86">
        <v>571500001134</v>
      </c>
      <c r="D103" s="101" t="s">
        <v>121</v>
      </c>
      <c r="E103" s="101" t="s">
        <v>792</v>
      </c>
      <c r="F103" s="101" t="s">
        <v>229</v>
      </c>
      <c r="G103" s="84"/>
      <c r="H103" s="90"/>
      <c r="I103" s="90"/>
      <c r="J103" s="90"/>
      <c r="K103" s="90"/>
      <c r="L103" s="90"/>
    </row>
    <row r="104" spans="1:12" ht="19.5" customHeight="1" x14ac:dyDescent="0.2">
      <c r="A104" s="85">
        <v>16</v>
      </c>
      <c r="B104" s="85">
        <v>2632</v>
      </c>
      <c r="C104" s="86">
        <v>1571500121880</v>
      </c>
      <c r="D104" s="101" t="s">
        <v>121</v>
      </c>
      <c r="E104" s="101" t="s">
        <v>793</v>
      </c>
      <c r="F104" s="101" t="s">
        <v>794</v>
      </c>
      <c r="G104" s="84"/>
      <c r="H104" s="90"/>
      <c r="I104" s="90"/>
      <c r="J104" s="90"/>
      <c r="K104" s="90"/>
      <c r="L104" s="90"/>
    </row>
    <row r="105" spans="1:12" ht="19.5" customHeight="1" x14ac:dyDescent="0.2">
      <c r="A105" s="85">
        <v>17</v>
      </c>
      <c r="B105" s="85">
        <v>2633</v>
      </c>
      <c r="C105" s="86" t="s">
        <v>795</v>
      </c>
      <c r="D105" s="101" t="s">
        <v>121</v>
      </c>
      <c r="E105" s="101" t="s">
        <v>796</v>
      </c>
      <c r="F105" s="101" t="s">
        <v>103</v>
      </c>
      <c r="G105" s="84"/>
      <c r="H105" s="90"/>
      <c r="I105" s="90"/>
      <c r="J105" s="90"/>
      <c r="K105" s="90"/>
      <c r="L105" s="90"/>
    </row>
    <row r="106" spans="1:12" ht="19.5" customHeight="1" x14ac:dyDescent="0.2">
      <c r="A106" s="85">
        <v>18</v>
      </c>
      <c r="B106" s="85">
        <v>2637</v>
      </c>
      <c r="C106" s="86">
        <v>1749800589475</v>
      </c>
      <c r="D106" s="101" t="s">
        <v>121</v>
      </c>
      <c r="E106" s="101" t="s">
        <v>797</v>
      </c>
      <c r="F106" s="101" t="s">
        <v>787</v>
      </c>
      <c r="G106" s="84"/>
      <c r="H106" s="90"/>
      <c r="I106" s="90"/>
      <c r="J106" s="90"/>
      <c r="K106" s="90"/>
      <c r="L106" s="90"/>
    </row>
    <row r="107" spans="1:12" ht="19.5" customHeight="1" x14ac:dyDescent="0.2">
      <c r="A107" s="85">
        <v>19</v>
      </c>
      <c r="B107" s="85">
        <v>2641</v>
      </c>
      <c r="C107" s="86">
        <v>571500031831</v>
      </c>
      <c r="D107" s="101" t="s">
        <v>121</v>
      </c>
      <c r="E107" s="101" t="s">
        <v>798</v>
      </c>
      <c r="F107" s="101" t="s">
        <v>103</v>
      </c>
      <c r="G107" s="84"/>
      <c r="H107" s="90"/>
      <c r="I107" s="90"/>
      <c r="J107" s="90"/>
      <c r="K107" s="90"/>
      <c r="L107" s="90"/>
    </row>
    <row r="108" spans="1:12" ht="19.5" customHeight="1" x14ac:dyDescent="0.2">
      <c r="A108" s="85">
        <v>20</v>
      </c>
      <c r="B108" s="85">
        <v>2642</v>
      </c>
      <c r="C108" s="93">
        <v>571500031629</v>
      </c>
      <c r="D108" s="107" t="s">
        <v>121</v>
      </c>
      <c r="E108" s="95" t="s">
        <v>799</v>
      </c>
      <c r="F108" s="95" t="s">
        <v>103</v>
      </c>
      <c r="G108" s="102"/>
      <c r="H108" s="90"/>
      <c r="I108" s="90"/>
      <c r="J108" s="90"/>
      <c r="K108" s="90"/>
      <c r="L108" s="90"/>
    </row>
    <row r="109" spans="1:12" ht="19.5" customHeight="1" x14ac:dyDescent="0.2">
      <c r="A109" s="85">
        <v>21</v>
      </c>
      <c r="B109" s="85">
        <v>3251</v>
      </c>
      <c r="C109" s="86">
        <v>571500038062</v>
      </c>
      <c r="D109" s="101" t="s">
        <v>121</v>
      </c>
      <c r="E109" s="101" t="s">
        <v>800</v>
      </c>
      <c r="F109" s="101" t="s">
        <v>103</v>
      </c>
      <c r="G109" s="84"/>
      <c r="H109" s="90"/>
      <c r="I109" s="90"/>
      <c r="J109" s="90"/>
      <c r="K109" s="90"/>
      <c r="L109" s="90"/>
    </row>
    <row r="110" spans="1:12" ht="19.5" customHeight="1" x14ac:dyDescent="0.2">
      <c r="A110" s="85">
        <v>22</v>
      </c>
      <c r="B110" s="85">
        <v>2644</v>
      </c>
      <c r="C110" s="86">
        <v>571500032200</v>
      </c>
      <c r="D110" s="101" t="s">
        <v>121</v>
      </c>
      <c r="E110" s="101" t="s">
        <v>801</v>
      </c>
      <c r="F110" s="101" t="s">
        <v>103</v>
      </c>
      <c r="G110" s="84"/>
      <c r="H110" s="90"/>
      <c r="I110" s="90"/>
      <c r="J110" s="90"/>
      <c r="K110" s="90"/>
      <c r="L110" s="90"/>
    </row>
    <row r="111" spans="1:12" ht="19.5" customHeight="1" x14ac:dyDescent="0.2">
      <c r="A111" s="85">
        <v>23</v>
      </c>
      <c r="B111" s="82">
        <v>3013</v>
      </c>
      <c r="C111" s="92">
        <v>7571500117067</v>
      </c>
      <c r="D111" s="106" t="s">
        <v>121</v>
      </c>
      <c r="E111" s="90" t="s">
        <v>802</v>
      </c>
      <c r="F111" s="90" t="s">
        <v>570</v>
      </c>
      <c r="G111" s="102"/>
      <c r="H111" s="90"/>
      <c r="I111" s="90"/>
      <c r="J111" s="90"/>
      <c r="K111" s="90"/>
      <c r="L111" s="90"/>
    </row>
    <row r="112" spans="1:12" ht="19.5" customHeight="1" x14ac:dyDescent="0.2">
      <c r="A112" s="85">
        <v>24</v>
      </c>
      <c r="B112" s="85">
        <v>2811</v>
      </c>
      <c r="C112" s="86">
        <v>1120300241370</v>
      </c>
      <c r="D112" s="101" t="s">
        <v>121</v>
      </c>
      <c r="E112" s="101" t="s">
        <v>803</v>
      </c>
      <c r="F112" s="101" t="s">
        <v>804</v>
      </c>
      <c r="G112" s="84"/>
      <c r="H112" s="90"/>
      <c r="I112" s="90"/>
      <c r="J112" s="90"/>
      <c r="K112" s="90"/>
      <c r="L112" s="90"/>
    </row>
    <row r="113" spans="1:12" ht="19.5" customHeight="1" x14ac:dyDescent="0.2">
      <c r="A113" s="85">
        <v>25</v>
      </c>
      <c r="B113" s="85">
        <v>2655</v>
      </c>
      <c r="C113" s="86">
        <v>1571500120123</v>
      </c>
      <c r="D113" s="101" t="s">
        <v>121</v>
      </c>
      <c r="E113" s="101" t="s">
        <v>805</v>
      </c>
      <c r="F113" s="101" t="s">
        <v>362</v>
      </c>
      <c r="G113" s="84"/>
      <c r="H113" s="90"/>
      <c r="I113" s="90"/>
      <c r="J113" s="90"/>
      <c r="K113" s="90"/>
      <c r="L113" s="90"/>
    </row>
    <row r="114" spans="1:12" ht="19.5" customHeight="1" x14ac:dyDescent="0.2">
      <c r="A114" s="85">
        <v>26</v>
      </c>
      <c r="B114" s="85">
        <v>2656</v>
      </c>
      <c r="C114" s="86">
        <v>7571500117377</v>
      </c>
      <c r="D114" s="101" t="s">
        <v>121</v>
      </c>
      <c r="E114" s="101" t="s">
        <v>806</v>
      </c>
      <c r="F114" s="101" t="s">
        <v>103</v>
      </c>
      <c r="G114" s="84"/>
      <c r="H114" s="90"/>
      <c r="I114" s="90"/>
      <c r="J114" s="90"/>
      <c r="K114" s="90"/>
      <c r="L114" s="90"/>
    </row>
    <row r="115" spans="1:12" ht="19.5" customHeight="1" x14ac:dyDescent="0.2">
      <c r="A115" s="85">
        <v>27</v>
      </c>
      <c r="B115" s="85">
        <v>2548</v>
      </c>
      <c r="C115" s="91" t="s">
        <v>807</v>
      </c>
      <c r="D115" s="101" t="s">
        <v>121</v>
      </c>
      <c r="E115" s="101" t="s">
        <v>808</v>
      </c>
      <c r="F115" s="101" t="s">
        <v>229</v>
      </c>
      <c r="G115" s="102"/>
      <c r="H115" s="90"/>
      <c r="I115" s="90"/>
      <c r="J115" s="90"/>
      <c r="K115" s="90"/>
      <c r="L115" s="90"/>
    </row>
    <row r="116" spans="1:12" ht="19.5" customHeight="1" x14ac:dyDescent="0.2">
      <c r="A116" s="85">
        <v>28</v>
      </c>
      <c r="B116" s="85">
        <v>2660</v>
      </c>
      <c r="C116" s="86">
        <v>1571500118749</v>
      </c>
      <c r="D116" s="101" t="s">
        <v>121</v>
      </c>
      <c r="E116" s="101" t="s">
        <v>809</v>
      </c>
      <c r="F116" s="101" t="s">
        <v>283</v>
      </c>
      <c r="G116" s="102"/>
      <c r="H116" s="90"/>
      <c r="I116" s="90"/>
      <c r="J116" s="90"/>
      <c r="K116" s="90"/>
      <c r="L116" s="90"/>
    </row>
    <row r="117" spans="1:12" ht="19.5" customHeight="1" x14ac:dyDescent="0.2">
      <c r="A117" s="85">
        <v>29</v>
      </c>
      <c r="B117" s="96">
        <v>2663</v>
      </c>
      <c r="C117" s="97">
        <v>571500031980</v>
      </c>
      <c r="D117" s="94" t="s">
        <v>121</v>
      </c>
      <c r="E117" s="95" t="s">
        <v>810</v>
      </c>
      <c r="F117" s="95" t="s">
        <v>103</v>
      </c>
      <c r="G117" s="90"/>
      <c r="H117" s="90"/>
      <c r="I117" s="90"/>
      <c r="J117" s="90"/>
      <c r="K117" s="90"/>
      <c r="L117" s="90"/>
    </row>
    <row r="118" spans="1:12" ht="19.5" customHeight="1" x14ac:dyDescent="0.2">
      <c r="A118" s="85"/>
      <c r="B118" s="82"/>
      <c r="C118" s="83"/>
      <c r="D118" s="106"/>
      <c r="E118" s="90"/>
      <c r="F118" s="90"/>
      <c r="G118" s="90"/>
      <c r="H118" s="90"/>
      <c r="I118" s="90"/>
      <c r="J118" s="90"/>
      <c r="K118" s="90"/>
      <c r="L118" s="90"/>
    </row>
    <row r="119" spans="1:12" ht="19.5" customHeight="1" x14ac:dyDescent="0.2">
      <c r="A119" s="85"/>
      <c r="B119" s="82"/>
      <c r="C119" s="83"/>
      <c r="D119" s="106"/>
      <c r="E119" s="90"/>
      <c r="F119" s="90"/>
      <c r="G119" s="90"/>
      <c r="H119" s="90"/>
      <c r="I119" s="90"/>
      <c r="J119" s="90"/>
      <c r="K119" s="90"/>
      <c r="L119" s="90"/>
    </row>
    <row r="120" spans="1:12" ht="19.5" customHeight="1" x14ac:dyDescent="0.2">
      <c r="A120" s="85"/>
      <c r="B120" s="82"/>
      <c r="C120" s="83"/>
      <c r="D120" s="106"/>
      <c r="E120" s="90"/>
      <c r="F120" s="90"/>
      <c r="G120" s="90"/>
      <c r="H120" s="90"/>
      <c r="I120" s="90"/>
      <c r="J120" s="90"/>
      <c r="K120" s="90"/>
      <c r="L120" s="90"/>
    </row>
    <row r="121" spans="1:12" ht="19.5" customHeight="1" x14ac:dyDescent="0.2">
      <c r="A121" s="85"/>
      <c r="B121" s="82"/>
      <c r="C121" s="179" t="s">
        <v>1066</v>
      </c>
      <c r="D121" s="188">
        <f>COUNTIF(D89:D117,"เด็กชาย")</f>
        <v>14</v>
      </c>
      <c r="E121" s="90"/>
      <c r="F121" s="90"/>
      <c r="G121" s="90"/>
      <c r="H121" s="90"/>
      <c r="I121" s="90"/>
      <c r="J121" s="90"/>
      <c r="K121" s="90"/>
      <c r="L121" s="90"/>
    </row>
    <row r="122" spans="1:12" ht="19.5" customHeight="1" x14ac:dyDescent="0.2">
      <c r="A122" s="82"/>
      <c r="B122" s="82"/>
      <c r="C122" s="179" t="s">
        <v>1067</v>
      </c>
      <c r="D122" s="188">
        <f>COUNTIF(D89:D117,"เด็กหญิง")</f>
        <v>15</v>
      </c>
      <c r="E122" s="118"/>
      <c r="F122" s="118" t="s">
        <v>38</v>
      </c>
      <c r="G122" s="82">
        <f>I122+K122</f>
        <v>28</v>
      </c>
      <c r="H122" s="90" t="s">
        <v>894</v>
      </c>
      <c r="I122" s="82">
        <v>10</v>
      </c>
      <c r="J122" s="90" t="s">
        <v>895</v>
      </c>
      <c r="K122" s="82">
        <v>18</v>
      </c>
      <c r="L122" s="90"/>
    </row>
    <row r="123" spans="1:12" ht="19.5" customHeight="1" x14ac:dyDescent="0.2">
      <c r="A123" s="82"/>
      <c r="B123" s="82"/>
      <c r="C123" s="179" t="s">
        <v>38</v>
      </c>
      <c r="D123" s="188">
        <f>SUM(D121:D122)</f>
        <v>29</v>
      </c>
      <c r="E123" s="118"/>
      <c r="F123" s="82"/>
      <c r="G123" s="90"/>
      <c r="H123" s="82"/>
      <c r="I123" s="90"/>
      <c r="J123" s="82"/>
      <c r="K123" s="90"/>
      <c r="L123" s="100" t="str">
        <f>L82</f>
        <v>วันที่ 21 พ.ค. 2569</v>
      </c>
    </row>
    <row r="124" spans="1:12" ht="19.5" customHeight="1" x14ac:dyDescent="0.2">
      <c r="A124" s="234" t="s">
        <v>890</v>
      </c>
      <c r="B124" s="235"/>
      <c r="C124" s="235"/>
      <c r="D124" s="235"/>
      <c r="E124" s="235"/>
      <c r="F124" s="235"/>
      <c r="G124" s="235"/>
      <c r="H124" s="235"/>
      <c r="I124" s="235"/>
      <c r="J124" s="235"/>
      <c r="K124" s="235"/>
      <c r="L124" s="235"/>
    </row>
    <row r="125" spans="1:12" ht="19.5" customHeight="1" x14ac:dyDescent="0.2">
      <c r="A125" s="233" t="str">
        <f>A84</f>
        <v>ร่าง-รายชื่อนักเรียนปีการศึกษา 1/2569</v>
      </c>
      <c r="B125" s="233"/>
      <c r="C125" s="233"/>
      <c r="D125" s="233"/>
      <c r="E125" s="233"/>
      <c r="F125" s="233"/>
      <c r="G125" s="233"/>
      <c r="H125" s="233"/>
      <c r="I125" s="233"/>
      <c r="J125" s="233"/>
      <c r="K125" s="233"/>
      <c r="L125" s="233"/>
    </row>
    <row r="126" spans="1:12" ht="19.5" customHeight="1" x14ac:dyDescent="0.2">
      <c r="A126" s="236" t="s">
        <v>918</v>
      </c>
      <c r="B126" s="236"/>
      <c r="C126" s="236"/>
      <c r="D126" s="237" t="s">
        <v>1030</v>
      </c>
      <c r="E126" s="237"/>
      <c r="F126" s="237"/>
      <c r="G126" s="237"/>
      <c r="H126" s="237"/>
      <c r="I126" s="237"/>
      <c r="J126" s="237"/>
      <c r="K126" s="237"/>
      <c r="L126" s="237"/>
    </row>
    <row r="127" spans="1:12" ht="19.5" customHeight="1" x14ac:dyDescent="0.2">
      <c r="A127" s="82" t="s">
        <v>43</v>
      </c>
      <c r="B127" s="82" t="s">
        <v>44</v>
      </c>
      <c r="C127" s="83" t="s">
        <v>45</v>
      </c>
      <c r="D127" s="238" t="s">
        <v>892</v>
      </c>
      <c r="E127" s="239"/>
      <c r="F127" s="239"/>
      <c r="G127" s="84"/>
      <c r="H127" s="84"/>
      <c r="I127" s="84"/>
      <c r="J127" s="84"/>
      <c r="K127" s="84"/>
      <c r="L127" s="84"/>
    </row>
    <row r="128" spans="1:12" ht="19.149999999999999" customHeight="1" x14ac:dyDescent="0.2">
      <c r="A128" s="85">
        <v>1</v>
      </c>
      <c r="B128" s="85">
        <v>2757</v>
      </c>
      <c r="C128" s="86">
        <v>959800000021</v>
      </c>
      <c r="D128" s="101" t="s">
        <v>101</v>
      </c>
      <c r="E128" s="101" t="s">
        <v>818</v>
      </c>
      <c r="F128" s="101" t="s">
        <v>819</v>
      </c>
      <c r="G128" s="102" t="s">
        <v>820</v>
      </c>
      <c r="H128" s="90"/>
      <c r="I128" s="90"/>
      <c r="J128" s="90"/>
      <c r="K128" s="90"/>
      <c r="L128" s="90"/>
    </row>
    <row r="129" spans="1:12" ht="19.149999999999999" customHeight="1" x14ac:dyDescent="0.2">
      <c r="A129" s="85">
        <v>2</v>
      </c>
      <c r="B129" s="85">
        <v>2534</v>
      </c>
      <c r="C129" s="86">
        <v>571500032005</v>
      </c>
      <c r="D129" s="101" t="s">
        <v>101</v>
      </c>
      <c r="E129" s="101" t="s">
        <v>636</v>
      </c>
      <c r="F129" s="101" t="s">
        <v>103</v>
      </c>
      <c r="G129" s="84" t="s">
        <v>841</v>
      </c>
      <c r="H129" s="90"/>
      <c r="I129" s="90"/>
      <c r="J129" s="90"/>
      <c r="K129" s="90"/>
      <c r="L129" s="90"/>
    </row>
    <row r="130" spans="1:12" ht="19.149999999999999" customHeight="1" x14ac:dyDescent="0.2">
      <c r="A130" s="85">
        <v>3</v>
      </c>
      <c r="B130" s="85">
        <v>2537</v>
      </c>
      <c r="C130" s="86">
        <v>571500032084</v>
      </c>
      <c r="D130" s="101" t="s">
        <v>101</v>
      </c>
      <c r="E130" s="101" t="s">
        <v>408</v>
      </c>
      <c r="F130" s="101" t="s">
        <v>103</v>
      </c>
      <c r="G130" s="84" t="s">
        <v>841</v>
      </c>
      <c r="H130" s="90"/>
      <c r="I130" s="90"/>
      <c r="J130" s="90"/>
      <c r="K130" s="90"/>
      <c r="L130" s="90"/>
    </row>
    <row r="131" spans="1:12" ht="19.149999999999999" customHeight="1" x14ac:dyDescent="0.2">
      <c r="A131" s="85">
        <v>4</v>
      </c>
      <c r="B131" s="85">
        <v>2513</v>
      </c>
      <c r="C131" s="91">
        <v>57991044157</v>
      </c>
      <c r="D131" s="101" t="s">
        <v>101</v>
      </c>
      <c r="E131" s="101" t="s">
        <v>842</v>
      </c>
      <c r="F131" s="101" t="s">
        <v>843</v>
      </c>
      <c r="G131" s="84" t="s">
        <v>841</v>
      </c>
      <c r="H131" s="90"/>
      <c r="I131" s="90"/>
      <c r="J131" s="90"/>
      <c r="K131" s="90"/>
      <c r="L131" s="90"/>
    </row>
    <row r="132" spans="1:12" ht="19.149999999999999" customHeight="1" x14ac:dyDescent="0.2">
      <c r="A132" s="85">
        <v>5</v>
      </c>
      <c r="B132" s="85">
        <v>2508</v>
      </c>
      <c r="C132" s="86">
        <v>7571500115714</v>
      </c>
      <c r="D132" s="101" t="s">
        <v>101</v>
      </c>
      <c r="E132" s="101" t="s">
        <v>821</v>
      </c>
      <c r="F132" s="101" t="s">
        <v>734</v>
      </c>
      <c r="G132" s="84" t="s">
        <v>820</v>
      </c>
      <c r="H132" s="90"/>
      <c r="I132" s="90"/>
      <c r="J132" s="90"/>
      <c r="K132" s="90"/>
      <c r="L132" s="90"/>
    </row>
    <row r="133" spans="1:12" ht="19.149999999999999" customHeight="1" x14ac:dyDescent="0.2">
      <c r="A133" s="85">
        <v>6</v>
      </c>
      <c r="B133" s="85">
        <v>2507</v>
      </c>
      <c r="C133" s="86">
        <v>7571500116265</v>
      </c>
      <c r="D133" s="101" t="s">
        <v>101</v>
      </c>
      <c r="E133" s="101" t="s">
        <v>844</v>
      </c>
      <c r="F133" s="101" t="s">
        <v>845</v>
      </c>
      <c r="G133" s="84" t="s">
        <v>841</v>
      </c>
      <c r="H133" s="90"/>
      <c r="I133" s="90"/>
      <c r="J133" s="90"/>
      <c r="K133" s="90"/>
      <c r="L133" s="90"/>
    </row>
    <row r="134" spans="1:12" ht="19.149999999999999" customHeight="1" x14ac:dyDescent="0.2">
      <c r="A134" s="85">
        <v>7</v>
      </c>
      <c r="B134" s="85">
        <v>2510</v>
      </c>
      <c r="C134" s="91">
        <v>7571500115986</v>
      </c>
      <c r="D134" s="101" t="s">
        <v>101</v>
      </c>
      <c r="E134" s="101" t="s">
        <v>822</v>
      </c>
      <c r="F134" s="101" t="s">
        <v>103</v>
      </c>
      <c r="G134" s="84" t="s">
        <v>820</v>
      </c>
      <c r="H134" s="90"/>
      <c r="I134" s="90"/>
      <c r="J134" s="90"/>
      <c r="K134" s="90"/>
      <c r="L134" s="90"/>
    </row>
    <row r="135" spans="1:12" ht="19.149999999999999" customHeight="1" x14ac:dyDescent="0.2">
      <c r="A135" s="85">
        <v>8</v>
      </c>
      <c r="B135" s="85">
        <v>2498</v>
      </c>
      <c r="C135" s="92">
        <v>1579901487238</v>
      </c>
      <c r="D135" s="106" t="s">
        <v>101</v>
      </c>
      <c r="E135" s="90" t="s">
        <v>823</v>
      </c>
      <c r="F135" s="90" t="s">
        <v>290</v>
      </c>
      <c r="G135" s="84" t="s">
        <v>820</v>
      </c>
      <c r="H135" s="90"/>
      <c r="I135" s="90"/>
      <c r="J135" s="90"/>
      <c r="K135" s="90"/>
      <c r="L135" s="90"/>
    </row>
    <row r="136" spans="1:12" ht="19.149999999999999" customHeight="1" x14ac:dyDescent="0.2">
      <c r="A136" s="85">
        <v>9</v>
      </c>
      <c r="B136" s="85">
        <v>2664</v>
      </c>
      <c r="C136" s="91">
        <v>1508600027041</v>
      </c>
      <c r="D136" s="101" t="s">
        <v>101</v>
      </c>
      <c r="E136" s="101" t="s">
        <v>824</v>
      </c>
      <c r="F136" s="101" t="s">
        <v>635</v>
      </c>
      <c r="G136" s="84" t="s">
        <v>820</v>
      </c>
      <c r="H136" s="90"/>
      <c r="I136" s="90"/>
      <c r="J136" s="90"/>
      <c r="K136" s="90"/>
      <c r="L136" s="90"/>
    </row>
    <row r="137" spans="1:12" ht="19.149999999999999" customHeight="1" x14ac:dyDescent="0.2">
      <c r="A137" s="85">
        <v>10</v>
      </c>
      <c r="B137" s="85">
        <v>2536</v>
      </c>
      <c r="C137" s="86">
        <v>571500031505</v>
      </c>
      <c r="D137" s="101" t="s">
        <v>825</v>
      </c>
      <c r="E137" s="101" t="s">
        <v>861</v>
      </c>
      <c r="F137" s="101" t="s">
        <v>103</v>
      </c>
      <c r="G137" s="84" t="s">
        <v>841</v>
      </c>
      <c r="H137" s="90"/>
      <c r="I137" s="90"/>
      <c r="J137" s="90"/>
      <c r="K137" s="90"/>
      <c r="L137" s="90"/>
    </row>
    <row r="138" spans="1:12" ht="19.149999999999999" customHeight="1" x14ac:dyDescent="0.2">
      <c r="A138" s="85">
        <v>11</v>
      </c>
      <c r="B138" s="85">
        <v>3171</v>
      </c>
      <c r="C138" s="86">
        <v>1571500104403</v>
      </c>
      <c r="D138" s="101" t="s">
        <v>825</v>
      </c>
      <c r="E138" s="101" t="s">
        <v>826</v>
      </c>
      <c r="F138" s="101" t="s">
        <v>579</v>
      </c>
      <c r="G138" s="84" t="s">
        <v>820</v>
      </c>
      <c r="H138" s="90"/>
      <c r="I138" s="90"/>
      <c r="J138" s="90"/>
      <c r="K138" s="90"/>
      <c r="L138" s="90"/>
    </row>
    <row r="139" spans="1:12" ht="19.149999999999999" customHeight="1" x14ac:dyDescent="0.2">
      <c r="A139" s="85">
        <v>12</v>
      </c>
      <c r="B139" s="85">
        <v>2495</v>
      </c>
      <c r="C139" s="86">
        <v>1571500115995</v>
      </c>
      <c r="D139" s="101" t="s">
        <v>101</v>
      </c>
      <c r="E139" s="101" t="s">
        <v>846</v>
      </c>
      <c r="F139" s="101" t="s">
        <v>847</v>
      </c>
      <c r="G139" s="84" t="s">
        <v>841</v>
      </c>
      <c r="H139" s="90"/>
      <c r="I139" s="90"/>
      <c r="J139" s="90"/>
      <c r="K139" s="90"/>
      <c r="L139" s="90"/>
    </row>
    <row r="140" spans="1:12" ht="19.149999999999999" customHeight="1" x14ac:dyDescent="0.2">
      <c r="A140" s="85">
        <v>13</v>
      </c>
      <c r="B140" s="85">
        <v>2512</v>
      </c>
      <c r="C140" s="86">
        <v>7579900078562</v>
      </c>
      <c r="D140" s="101" t="s">
        <v>101</v>
      </c>
      <c r="E140" s="101" t="s">
        <v>848</v>
      </c>
      <c r="F140" s="101" t="s">
        <v>849</v>
      </c>
      <c r="G140" s="84" t="s">
        <v>841</v>
      </c>
      <c r="H140" s="90"/>
      <c r="I140" s="90"/>
      <c r="J140" s="90"/>
      <c r="K140" s="90"/>
      <c r="L140" s="90"/>
    </row>
    <row r="141" spans="1:12" ht="19.149999999999999" customHeight="1" x14ac:dyDescent="0.2">
      <c r="A141" s="85">
        <v>14</v>
      </c>
      <c r="B141" s="85">
        <v>2617</v>
      </c>
      <c r="C141" s="86">
        <v>571500031521</v>
      </c>
      <c r="D141" s="101" t="s">
        <v>101</v>
      </c>
      <c r="E141" s="101" t="s">
        <v>850</v>
      </c>
      <c r="F141" s="101" t="s">
        <v>103</v>
      </c>
      <c r="G141" s="84" t="s">
        <v>841</v>
      </c>
      <c r="H141" s="90"/>
      <c r="I141" s="90"/>
      <c r="J141" s="90"/>
      <c r="K141" s="90"/>
      <c r="L141" s="90"/>
    </row>
    <row r="142" spans="1:12" ht="19.149999999999999" customHeight="1" x14ac:dyDescent="0.2">
      <c r="A142" s="85">
        <v>15</v>
      </c>
      <c r="B142" s="85">
        <v>2430</v>
      </c>
      <c r="C142" s="86" t="s">
        <v>827</v>
      </c>
      <c r="D142" s="101" t="s">
        <v>101</v>
      </c>
      <c r="E142" s="101" t="s">
        <v>828</v>
      </c>
      <c r="F142" s="101" t="s">
        <v>103</v>
      </c>
      <c r="G142" s="84" t="s">
        <v>820</v>
      </c>
      <c r="H142" s="90"/>
      <c r="I142" s="90"/>
      <c r="J142" s="90"/>
      <c r="K142" s="90"/>
      <c r="L142" s="90"/>
    </row>
    <row r="143" spans="1:12" ht="19.149999999999999" customHeight="1" x14ac:dyDescent="0.2">
      <c r="A143" s="85">
        <v>16</v>
      </c>
      <c r="B143" s="85">
        <v>2505</v>
      </c>
      <c r="C143" s="86">
        <v>1579901471731</v>
      </c>
      <c r="D143" s="101" t="s">
        <v>101</v>
      </c>
      <c r="E143" s="101" t="s">
        <v>830</v>
      </c>
      <c r="F143" s="101" t="s">
        <v>193</v>
      </c>
      <c r="G143" s="84" t="s">
        <v>820</v>
      </c>
      <c r="H143" s="90"/>
      <c r="I143" s="90"/>
      <c r="J143" s="90"/>
      <c r="K143" s="90"/>
      <c r="L143" s="90"/>
    </row>
    <row r="144" spans="1:12" ht="19.149999999999999" customHeight="1" x14ac:dyDescent="0.2">
      <c r="A144" s="85">
        <v>17</v>
      </c>
      <c r="B144" s="85">
        <v>2514</v>
      </c>
      <c r="C144" s="93">
        <v>7571500116184</v>
      </c>
      <c r="D144" s="107" t="s">
        <v>101</v>
      </c>
      <c r="E144" s="95" t="s">
        <v>851</v>
      </c>
      <c r="F144" s="95" t="s">
        <v>852</v>
      </c>
      <c r="G144" s="84" t="s">
        <v>841</v>
      </c>
      <c r="H144" s="90"/>
      <c r="I144" s="90"/>
      <c r="J144" s="90"/>
      <c r="K144" s="90"/>
      <c r="L144" s="90"/>
    </row>
    <row r="145" spans="1:12" ht="19.149999999999999" customHeight="1" x14ac:dyDescent="0.2">
      <c r="A145" s="85">
        <v>18</v>
      </c>
      <c r="B145" s="85">
        <v>2496</v>
      </c>
      <c r="C145" s="86">
        <v>1579901446353</v>
      </c>
      <c r="D145" s="101" t="s">
        <v>101</v>
      </c>
      <c r="E145" s="101" t="s">
        <v>853</v>
      </c>
      <c r="F145" s="101" t="s">
        <v>575</v>
      </c>
      <c r="G145" s="84" t="s">
        <v>841</v>
      </c>
      <c r="H145" s="90"/>
      <c r="I145" s="90"/>
      <c r="J145" s="90"/>
      <c r="K145" s="90"/>
      <c r="L145" s="90"/>
    </row>
    <row r="146" spans="1:12" ht="19.149999999999999" customHeight="1" x14ac:dyDescent="0.2">
      <c r="A146" s="85">
        <v>19</v>
      </c>
      <c r="B146" s="85">
        <v>2666</v>
      </c>
      <c r="C146" s="86">
        <v>1571500110306</v>
      </c>
      <c r="D146" s="101" t="s">
        <v>101</v>
      </c>
      <c r="E146" s="101" t="s">
        <v>864</v>
      </c>
      <c r="F146" s="101" t="s">
        <v>865</v>
      </c>
      <c r="G146" s="84" t="s">
        <v>820</v>
      </c>
      <c r="H146" s="90"/>
      <c r="I146" s="90"/>
      <c r="J146" s="90"/>
      <c r="K146" s="90"/>
      <c r="L146" s="90"/>
    </row>
    <row r="147" spans="1:12" ht="19.149999999999999" customHeight="1" x14ac:dyDescent="0.2">
      <c r="A147" s="85">
        <v>20</v>
      </c>
      <c r="B147" s="82">
        <v>2506</v>
      </c>
      <c r="C147" s="92">
        <v>1571500116142</v>
      </c>
      <c r="D147" s="106" t="s">
        <v>101</v>
      </c>
      <c r="E147" s="90" t="s">
        <v>502</v>
      </c>
      <c r="F147" s="90" t="s">
        <v>359</v>
      </c>
      <c r="G147" s="102" t="s">
        <v>841</v>
      </c>
      <c r="H147" s="90"/>
      <c r="I147" s="90"/>
      <c r="J147" s="90"/>
      <c r="K147" s="90"/>
      <c r="L147" s="90"/>
    </row>
    <row r="148" spans="1:12" ht="19.149999999999999" customHeight="1" x14ac:dyDescent="0.2">
      <c r="A148" s="85">
        <v>21</v>
      </c>
      <c r="B148" s="85">
        <v>2540</v>
      </c>
      <c r="C148" s="86">
        <v>571500032170</v>
      </c>
      <c r="D148" s="101" t="s">
        <v>101</v>
      </c>
      <c r="E148" s="101" t="s">
        <v>829</v>
      </c>
      <c r="F148" s="101" t="s">
        <v>103</v>
      </c>
      <c r="G148" s="84" t="s">
        <v>820</v>
      </c>
      <c r="H148" s="90"/>
      <c r="I148" s="90"/>
      <c r="J148" s="90"/>
      <c r="K148" s="90"/>
      <c r="L148" s="90"/>
    </row>
    <row r="149" spans="1:12" ht="19.149999999999999" customHeight="1" x14ac:dyDescent="0.2">
      <c r="A149" s="85">
        <v>22</v>
      </c>
      <c r="B149" s="85">
        <v>2518</v>
      </c>
      <c r="C149" s="86">
        <v>1571500114140</v>
      </c>
      <c r="D149" s="101" t="s">
        <v>121</v>
      </c>
      <c r="E149" s="101" t="s">
        <v>854</v>
      </c>
      <c r="F149" s="101" t="s">
        <v>455</v>
      </c>
      <c r="G149" s="84" t="s">
        <v>841</v>
      </c>
      <c r="H149" s="90"/>
      <c r="I149" s="90"/>
      <c r="J149" s="90"/>
      <c r="K149" s="90"/>
      <c r="L149" s="90"/>
    </row>
    <row r="150" spans="1:12" ht="19.149999999999999" customHeight="1" x14ac:dyDescent="0.2">
      <c r="A150" s="85">
        <v>23</v>
      </c>
      <c r="B150" s="85">
        <v>2527</v>
      </c>
      <c r="C150" s="86">
        <v>1571500114298</v>
      </c>
      <c r="D150" s="101" t="s">
        <v>121</v>
      </c>
      <c r="E150" s="101" t="s">
        <v>855</v>
      </c>
      <c r="F150" s="101" t="s">
        <v>153</v>
      </c>
      <c r="G150" s="102" t="s">
        <v>841</v>
      </c>
      <c r="H150" s="90"/>
      <c r="I150" s="90"/>
      <c r="J150" s="90"/>
      <c r="K150" s="90"/>
      <c r="L150" s="90"/>
    </row>
    <row r="151" spans="1:12" ht="19.149999999999999" customHeight="1" x14ac:dyDescent="0.2">
      <c r="A151" s="85">
        <v>24</v>
      </c>
      <c r="B151" s="85">
        <v>2816</v>
      </c>
      <c r="C151" s="91">
        <v>571500038178</v>
      </c>
      <c r="D151" s="101" t="s">
        <v>121</v>
      </c>
      <c r="E151" s="101" t="s">
        <v>831</v>
      </c>
      <c r="F151" s="101" t="s">
        <v>153</v>
      </c>
      <c r="G151" s="84" t="s">
        <v>820</v>
      </c>
      <c r="H151" s="90"/>
      <c r="I151" s="90"/>
      <c r="J151" s="90"/>
      <c r="K151" s="90"/>
      <c r="L151" s="90"/>
    </row>
    <row r="152" spans="1:12" ht="19.149999999999999" customHeight="1" x14ac:dyDescent="0.2">
      <c r="A152" s="85">
        <v>25</v>
      </c>
      <c r="B152" s="82">
        <v>2516</v>
      </c>
      <c r="C152" s="92">
        <v>1571500114433</v>
      </c>
      <c r="D152" s="106" t="s">
        <v>121</v>
      </c>
      <c r="E152" s="90" t="s">
        <v>856</v>
      </c>
      <c r="F152" s="90" t="s">
        <v>109</v>
      </c>
      <c r="G152" s="102" t="s">
        <v>841</v>
      </c>
      <c r="H152" s="90"/>
      <c r="I152" s="90"/>
      <c r="J152" s="90"/>
      <c r="K152" s="90"/>
      <c r="L152" s="90"/>
    </row>
    <row r="153" spans="1:12" ht="19.149999999999999" customHeight="1" x14ac:dyDescent="0.2">
      <c r="A153" s="85">
        <v>26</v>
      </c>
      <c r="B153" s="85">
        <v>2522</v>
      </c>
      <c r="C153" s="86">
        <v>1571500117297</v>
      </c>
      <c r="D153" s="101" t="s">
        <v>121</v>
      </c>
      <c r="E153" s="101" t="s">
        <v>832</v>
      </c>
      <c r="F153" s="101" t="s">
        <v>538</v>
      </c>
      <c r="G153" s="102" t="s">
        <v>820</v>
      </c>
      <c r="H153" s="90"/>
      <c r="I153" s="90"/>
      <c r="J153" s="90"/>
      <c r="K153" s="90"/>
      <c r="L153" s="90"/>
    </row>
    <row r="154" spans="1:12" ht="19.149999999999999" customHeight="1" x14ac:dyDescent="0.2">
      <c r="A154" s="85">
        <v>27</v>
      </c>
      <c r="B154" s="85">
        <v>2524</v>
      </c>
      <c r="C154" s="86">
        <v>1571500116355</v>
      </c>
      <c r="D154" s="101" t="s">
        <v>121</v>
      </c>
      <c r="E154" s="101" t="s">
        <v>833</v>
      </c>
      <c r="F154" s="101" t="s">
        <v>622</v>
      </c>
      <c r="G154" s="102" t="s">
        <v>820</v>
      </c>
      <c r="H154" s="90"/>
      <c r="I154" s="90"/>
      <c r="J154" s="90"/>
      <c r="K154" s="90"/>
      <c r="L154" s="90"/>
    </row>
    <row r="155" spans="1:12" ht="19.149999999999999" customHeight="1" x14ac:dyDescent="0.2">
      <c r="A155" s="85">
        <v>28</v>
      </c>
      <c r="B155" s="85">
        <v>2519</v>
      </c>
      <c r="C155" s="86">
        <v>1571500116797</v>
      </c>
      <c r="D155" s="101" t="s">
        <v>121</v>
      </c>
      <c r="E155" s="101" t="s">
        <v>857</v>
      </c>
      <c r="F155" s="101" t="s">
        <v>709</v>
      </c>
      <c r="G155" s="102" t="s">
        <v>841</v>
      </c>
      <c r="H155" s="90"/>
      <c r="I155" s="90"/>
      <c r="J155" s="90"/>
      <c r="K155" s="90"/>
      <c r="L155" s="90"/>
    </row>
    <row r="156" spans="1:12" ht="19.149999999999999" customHeight="1" x14ac:dyDescent="0.2">
      <c r="A156" s="85">
        <v>29</v>
      </c>
      <c r="B156" s="96">
        <v>2560</v>
      </c>
      <c r="C156" s="97" t="s">
        <v>858</v>
      </c>
      <c r="D156" s="94" t="s">
        <v>121</v>
      </c>
      <c r="E156" s="95" t="s">
        <v>233</v>
      </c>
      <c r="F156" s="95" t="s">
        <v>103</v>
      </c>
      <c r="G156" s="90" t="s">
        <v>841</v>
      </c>
      <c r="H156" s="90"/>
      <c r="I156" s="90"/>
      <c r="J156" s="90"/>
      <c r="K156" s="90"/>
      <c r="L156" s="90"/>
    </row>
    <row r="157" spans="1:12" ht="19.149999999999999" customHeight="1" x14ac:dyDescent="0.2">
      <c r="A157" s="85">
        <v>30</v>
      </c>
      <c r="B157" s="82">
        <v>2550</v>
      </c>
      <c r="C157" s="83">
        <v>571500031815</v>
      </c>
      <c r="D157" s="106" t="s">
        <v>121</v>
      </c>
      <c r="E157" s="90" t="s">
        <v>834</v>
      </c>
      <c r="F157" s="90" t="s">
        <v>103</v>
      </c>
      <c r="G157" s="90" t="s">
        <v>820</v>
      </c>
      <c r="H157" s="90"/>
      <c r="I157" s="90"/>
      <c r="J157" s="90"/>
      <c r="K157" s="90"/>
      <c r="L157" s="90"/>
    </row>
    <row r="158" spans="1:12" ht="19.149999999999999" customHeight="1" x14ac:dyDescent="0.2">
      <c r="A158" s="85">
        <v>31</v>
      </c>
      <c r="B158" s="82">
        <v>2555</v>
      </c>
      <c r="C158" s="83" t="s">
        <v>835</v>
      </c>
      <c r="D158" s="106" t="s">
        <v>121</v>
      </c>
      <c r="E158" s="90" t="s">
        <v>836</v>
      </c>
      <c r="F158" s="90" t="s">
        <v>103</v>
      </c>
      <c r="G158" s="90" t="s">
        <v>820</v>
      </c>
      <c r="H158" s="90"/>
      <c r="I158" s="90"/>
      <c r="J158" s="90"/>
      <c r="K158" s="90"/>
      <c r="L158" s="90"/>
    </row>
    <row r="159" spans="1:12" ht="19.149999999999999" customHeight="1" x14ac:dyDescent="0.2">
      <c r="A159" s="85">
        <v>32</v>
      </c>
      <c r="B159" s="82">
        <v>2526</v>
      </c>
      <c r="C159" s="83">
        <v>1571500116002</v>
      </c>
      <c r="D159" s="106" t="s">
        <v>121</v>
      </c>
      <c r="E159" s="90" t="s">
        <v>837</v>
      </c>
      <c r="F159" s="90" t="s">
        <v>103</v>
      </c>
      <c r="G159" s="90" t="s">
        <v>820</v>
      </c>
      <c r="H159" s="90"/>
      <c r="I159" s="90"/>
      <c r="J159" s="90"/>
      <c r="K159" s="90"/>
      <c r="L159" s="90"/>
    </row>
    <row r="160" spans="1:12" ht="19.149999999999999" customHeight="1" x14ac:dyDescent="0.2">
      <c r="A160" s="85">
        <v>33</v>
      </c>
      <c r="B160" s="82">
        <v>2556</v>
      </c>
      <c r="C160" s="83">
        <v>571500031971</v>
      </c>
      <c r="D160" s="106" t="s">
        <v>121</v>
      </c>
      <c r="E160" s="90" t="s">
        <v>314</v>
      </c>
      <c r="F160" s="90" t="s">
        <v>103</v>
      </c>
      <c r="G160" s="90" t="s">
        <v>820</v>
      </c>
      <c r="H160" s="90"/>
      <c r="I160" s="90"/>
      <c r="J160" s="90"/>
      <c r="K160" s="90"/>
      <c r="L160" s="90"/>
    </row>
    <row r="161" spans="1:12" ht="19.149999999999999" customHeight="1" x14ac:dyDescent="0.2">
      <c r="A161" s="85">
        <v>34</v>
      </c>
      <c r="B161" s="82">
        <v>2523</v>
      </c>
      <c r="C161" s="83">
        <v>1571500116835</v>
      </c>
      <c r="D161" s="106" t="s">
        <v>121</v>
      </c>
      <c r="E161" s="90" t="s">
        <v>838</v>
      </c>
      <c r="F161" s="90" t="s">
        <v>103</v>
      </c>
      <c r="G161" s="90" t="s">
        <v>820</v>
      </c>
      <c r="H161" s="90"/>
      <c r="I161" s="90"/>
      <c r="J161" s="90"/>
      <c r="K161" s="90"/>
      <c r="L161" s="90"/>
    </row>
    <row r="162" spans="1:12" ht="19.149999999999999" customHeight="1" x14ac:dyDescent="0.2">
      <c r="A162" s="85">
        <v>35</v>
      </c>
      <c r="B162" s="82">
        <v>2517</v>
      </c>
      <c r="C162" s="83">
        <v>1571500116096</v>
      </c>
      <c r="D162" s="106" t="s">
        <v>121</v>
      </c>
      <c r="E162" s="90" t="s">
        <v>859</v>
      </c>
      <c r="F162" s="90" t="s">
        <v>613</v>
      </c>
      <c r="G162" s="90" t="s">
        <v>841</v>
      </c>
      <c r="H162" s="90"/>
      <c r="I162" s="90"/>
      <c r="J162" s="90"/>
      <c r="K162" s="90"/>
      <c r="L162" s="90"/>
    </row>
    <row r="163" spans="1:12" ht="19.149999999999999" customHeight="1" x14ac:dyDescent="0.2">
      <c r="A163" s="85">
        <v>36</v>
      </c>
      <c r="B163" s="82">
        <v>2531</v>
      </c>
      <c r="C163" s="83">
        <v>7571500116061</v>
      </c>
      <c r="D163" s="106" t="s">
        <v>121</v>
      </c>
      <c r="E163" s="90" t="s">
        <v>860</v>
      </c>
      <c r="F163" s="90" t="s">
        <v>103</v>
      </c>
      <c r="G163" s="90" t="s">
        <v>841</v>
      </c>
      <c r="H163" s="90"/>
      <c r="I163" s="90"/>
      <c r="J163" s="90"/>
      <c r="K163" s="90"/>
      <c r="L163" s="90"/>
    </row>
    <row r="164" spans="1:12" ht="19.149999999999999" customHeight="1" x14ac:dyDescent="0.2">
      <c r="A164" s="85">
        <v>37</v>
      </c>
      <c r="B164" s="82">
        <v>2559</v>
      </c>
      <c r="C164" s="83">
        <v>571500031718</v>
      </c>
      <c r="D164" s="106" t="s">
        <v>121</v>
      </c>
      <c r="E164" s="90" t="s">
        <v>839</v>
      </c>
      <c r="F164" s="90" t="s">
        <v>840</v>
      </c>
      <c r="G164" s="90" t="s">
        <v>820</v>
      </c>
      <c r="H164" s="90"/>
      <c r="I164" s="90"/>
      <c r="J164" s="90"/>
      <c r="K164" s="90"/>
      <c r="L164" s="90"/>
    </row>
    <row r="165" spans="1:12" ht="19.149999999999999" customHeight="1" x14ac:dyDescent="0.2">
      <c r="A165" s="85">
        <v>38</v>
      </c>
      <c r="B165" s="82">
        <v>2521</v>
      </c>
      <c r="C165" s="83" t="s">
        <v>862</v>
      </c>
      <c r="D165" s="106" t="s">
        <v>121</v>
      </c>
      <c r="E165" s="90" t="s">
        <v>863</v>
      </c>
      <c r="F165" s="90" t="s">
        <v>103</v>
      </c>
      <c r="G165" s="90" t="s">
        <v>841</v>
      </c>
      <c r="H165" s="90"/>
      <c r="I165" s="90"/>
      <c r="J165" s="90"/>
      <c r="K165" s="90"/>
      <c r="L165" s="119" t="str">
        <f>L82</f>
        <v>วันที่ 21 พ.ค. 2569</v>
      </c>
    </row>
    <row r="167" spans="1:12" ht="19.5" customHeight="1" x14ac:dyDescent="0.2">
      <c r="C167" s="179" t="s">
        <v>1066</v>
      </c>
      <c r="D167" s="188">
        <v>21</v>
      </c>
    </row>
    <row r="168" spans="1:12" ht="19.5" customHeight="1" x14ac:dyDescent="0.2">
      <c r="C168" s="179" t="s">
        <v>1067</v>
      </c>
      <c r="D168" s="188">
        <f>COUNTIF(D135:D165,"เด็กหญิง")</f>
        <v>17</v>
      </c>
    </row>
    <row r="169" spans="1:12" ht="19.5" customHeight="1" x14ac:dyDescent="0.2">
      <c r="C169" s="179" t="s">
        <v>38</v>
      </c>
      <c r="D169" s="188">
        <f>SUM(D167:D168)</f>
        <v>38</v>
      </c>
    </row>
  </sheetData>
  <mergeCells count="20">
    <mergeCell ref="D127:F127"/>
    <mergeCell ref="A86:C86"/>
    <mergeCell ref="D86:L86"/>
    <mergeCell ref="D88:F88"/>
    <mergeCell ref="A124:L124"/>
    <mergeCell ref="A125:L125"/>
    <mergeCell ref="A126:C126"/>
    <mergeCell ref="D126:L126"/>
    <mergeCell ref="A84:L84"/>
    <mergeCell ref="A1:L1"/>
    <mergeCell ref="A2:L2"/>
    <mergeCell ref="A4:C4"/>
    <mergeCell ref="D4:L4"/>
    <mergeCell ref="D6:F6"/>
    <mergeCell ref="A42:L42"/>
    <mergeCell ref="A43:L43"/>
    <mergeCell ref="A45:C45"/>
    <mergeCell ref="D45:L45"/>
    <mergeCell ref="D47:F47"/>
    <mergeCell ref="A83:L83"/>
  </mergeCells>
  <pageMargins left="0.39370078740157483" right="0.19685039370078741" top="0.19685039370078741" bottom="0.19685039370078741" header="0" footer="0"/>
  <pageSetup paperSize="9" orientation="portrait" horizontalDpi="0" verticalDpi="0" r:id="rId1"/>
  <rowBreaks count="3" manualBreakCount="3">
    <brk id="41" max="16383" man="1"/>
    <brk id="82" max="16383" man="1"/>
    <brk id="123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E1767-79E2-4599-B5DA-87C5232EDBC6}">
  <dimension ref="A1:R105"/>
  <sheetViews>
    <sheetView zoomScale="115" zoomScaleNormal="115" workbookViewId="0">
      <selection activeCell="H3" sqref="H3"/>
    </sheetView>
  </sheetViews>
  <sheetFormatPr defaultRowHeight="12.75" x14ac:dyDescent="0.2"/>
  <cols>
    <col min="3" max="3" width="8.28515625" customWidth="1"/>
    <col min="4" max="4" width="26.5703125" customWidth="1"/>
    <col min="7" max="7" width="13.5703125" customWidth="1"/>
  </cols>
  <sheetData>
    <row r="1" spans="2:11" x14ac:dyDescent="0.2">
      <c r="B1" t="s">
        <v>43</v>
      </c>
      <c r="C1" s="1" t="s">
        <v>44</v>
      </c>
      <c r="D1" t="s">
        <v>45</v>
      </c>
      <c r="E1" t="s">
        <v>46</v>
      </c>
      <c r="F1" t="s">
        <v>47</v>
      </c>
      <c r="G1" t="s">
        <v>48</v>
      </c>
      <c r="H1" s="57" t="s">
        <v>1000</v>
      </c>
      <c r="I1" s="57" t="s">
        <v>43</v>
      </c>
      <c r="J1">
        <v>1</v>
      </c>
    </row>
    <row r="2" spans="2:11" x14ac:dyDescent="0.2">
      <c r="B2">
        <v>1</v>
      </c>
      <c r="C2" s="131">
        <v>3252</v>
      </c>
      <c r="D2" s="132" t="s">
        <v>1087</v>
      </c>
      <c r="E2" s="131" t="s">
        <v>121</v>
      </c>
      <c r="F2" s="131" t="s">
        <v>122</v>
      </c>
      <c r="G2" s="131" t="s">
        <v>378</v>
      </c>
      <c r="H2" s="131" t="s">
        <v>1062</v>
      </c>
      <c r="I2" s="131"/>
      <c r="J2" s="131"/>
      <c r="K2" s="131" t="s">
        <v>1086</v>
      </c>
    </row>
    <row r="3" spans="2:11" x14ac:dyDescent="0.2">
      <c r="B3">
        <v>2</v>
      </c>
      <c r="C3" s="131">
        <v>3253</v>
      </c>
      <c r="D3" s="132" t="s">
        <v>1064</v>
      </c>
      <c r="E3" s="131" t="s">
        <v>101</v>
      </c>
      <c r="F3" s="131" t="s">
        <v>1045</v>
      </c>
      <c r="G3" s="131" t="s">
        <v>1046</v>
      </c>
      <c r="H3" s="131" t="s">
        <v>1063</v>
      </c>
      <c r="I3" s="131"/>
      <c r="J3" s="131"/>
    </row>
    <row r="4" spans="2:11" x14ac:dyDescent="0.2">
      <c r="B4">
        <v>3</v>
      </c>
      <c r="C4" s="131">
        <v>3254</v>
      </c>
      <c r="D4" s="131" t="s">
        <v>1049</v>
      </c>
      <c r="E4" s="131" t="s">
        <v>121</v>
      </c>
      <c r="F4" s="131" t="s">
        <v>1050</v>
      </c>
      <c r="G4" s="131" t="s">
        <v>103</v>
      </c>
      <c r="H4" s="131" t="s">
        <v>1085</v>
      </c>
      <c r="I4" s="131"/>
      <c r="J4" s="131"/>
      <c r="K4" s="131" t="s">
        <v>1086</v>
      </c>
    </row>
    <row r="5" spans="2:11" x14ac:dyDescent="0.2">
      <c r="B5">
        <v>4</v>
      </c>
      <c r="C5" s="131">
        <v>3255</v>
      </c>
      <c r="D5" s="57" t="s">
        <v>52</v>
      </c>
      <c r="E5" t="s">
        <v>194</v>
      </c>
      <c r="F5" t="s">
        <v>920</v>
      </c>
      <c r="G5" t="s">
        <v>184</v>
      </c>
      <c r="H5" t="s">
        <v>888</v>
      </c>
      <c r="I5">
        <v>1</v>
      </c>
      <c r="J5" t="s">
        <v>50</v>
      </c>
    </row>
    <row r="6" spans="2:11" x14ac:dyDescent="0.2">
      <c r="B6">
        <v>5</v>
      </c>
      <c r="C6" s="131">
        <v>3256</v>
      </c>
      <c r="D6" t="s">
        <v>88</v>
      </c>
      <c r="E6" t="s">
        <v>194</v>
      </c>
      <c r="F6" t="s">
        <v>981</v>
      </c>
      <c r="G6" t="s">
        <v>774</v>
      </c>
      <c r="H6" t="s">
        <v>889</v>
      </c>
      <c r="I6">
        <v>56</v>
      </c>
      <c r="J6" t="s">
        <v>50</v>
      </c>
    </row>
    <row r="7" spans="2:11" x14ac:dyDescent="0.2">
      <c r="B7">
        <v>6</v>
      </c>
      <c r="C7" s="131">
        <v>3257</v>
      </c>
      <c r="E7" t="s">
        <v>194</v>
      </c>
      <c r="F7" t="s">
        <v>925</v>
      </c>
      <c r="G7" t="s">
        <v>103</v>
      </c>
      <c r="H7" t="s">
        <v>888</v>
      </c>
      <c r="I7">
        <v>7</v>
      </c>
      <c r="J7" t="s">
        <v>50</v>
      </c>
    </row>
    <row r="8" spans="2:11" x14ac:dyDescent="0.2">
      <c r="B8">
        <v>7</v>
      </c>
      <c r="C8" s="131">
        <v>3258</v>
      </c>
      <c r="E8" t="s">
        <v>194</v>
      </c>
      <c r="F8" t="s">
        <v>963</v>
      </c>
      <c r="G8" t="s">
        <v>103</v>
      </c>
      <c r="H8" t="s">
        <v>889</v>
      </c>
      <c r="I8">
        <v>42</v>
      </c>
      <c r="J8" t="s">
        <v>50</v>
      </c>
    </row>
    <row r="9" spans="2:11" x14ac:dyDescent="0.2">
      <c r="B9">
        <v>8</v>
      </c>
      <c r="C9" s="131">
        <v>3259</v>
      </c>
      <c r="D9" t="s">
        <v>77</v>
      </c>
      <c r="E9" t="s">
        <v>194</v>
      </c>
      <c r="F9" t="s">
        <v>961</v>
      </c>
      <c r="G9" t="s">
        <v>103</v>
      </c>
      <c r="H9" t="s">
        <v>889</v>
      </c>
      <c r="I9">
        <v>40</v>
      </c>
      <c r="J9" t="s">
        <v>50</v>
      </c>
    </row>
    <row r="10" spans="2:11" x14ac:dyDescent="0.2">
      <c r="B10">
        <v>9</v>
      </c>
      <c r="C10" s="131">
        <v>3260</v>
      </c>
      <c r="D10" t="s">
        <v>54</v>
      </c>
      <c r="E10" t="s">
        <v>194</v>
      </c>
      <c r="F10" t="s">
        <v>922</v>
      </c>
      <c r="G10" t="s">
        <v>103</v>
      </c>
      <c r="H10" t="s">
        <v>888</v>
      </c>
      <c r="I10">
        <v>4</v>
      </c>
      <c r="J10" t="s">
        <v>50</v>
      </c>
    </row>
    <row r="11" spans="2:11" x14ac:dyDescent="0.2">
      <c r="B11">
        <v>10</v>
      </c>
      <c r="C11" s="131">
        <v>3261</v>
      </c>
      <c r="E11" t="s">
        <v>194</v>
      </c>
      <c r="F11" t="s">
        <v>945</v>
      </c>
      <c r="G11" t="s">
        <v>103</v>
      </c>
      <c r="H11" t="s">
        <v>888</v>
      </c>
      <c r="I11">
        <v>25</v>
      </c>
      <c r="J11" t="s">
        <v>50</v>
      </c>
    </row>
    <row r="12" spans="2:11" x14ac:dyDescent="0.2">
      <c r="B12">
        <v>11</v>
      </c>
      <c r="C12" s="131">
        <v>3262</v>
      </c>
      <c r="E12" t="s">
        <v>194</v>
      </c>
      <c r="F12" t="s">
        <v>924</v>
      </c>
      <c r="G12" t="s">
        <v>158</v>
      </c>
      <c r="H12" t="s">
        <v>888</v>
      </c>
      <c r="I12">
        <v>6</v>
      </c>
      <c r="J12" t="s">
        <v>50</v>
      </c>
    </row>
    <row r="13" spans="2:11" x14ac:dyDescent="0.2">
      <c r="B13">
        <v>12</v>
      </c>
      <c r="C13" s="131">
        <v>3263</v>
      </c>
      <c r="D13" t="s">
        <v>68</v>
      </c>
      <c r="E13" t="s">
        <v>194</v>
      </c>
      <c r="F13" t="s">
        <v>944</v>
      </c>
      <c r="G13" t="s">
        <v>103</v>
      </c>
      <c r="H13" t="s">
        <v>888</v>
      </c>
      <c r="I13">
        <v>24</v>
      </c>
      <c r="J13" t="s">
        <v>50</v>
      </c>
    </row>
    <row r="14" spans="2:11" x14ac:dyDescent="0.2">
      <c r="B14">
        <v>13</v>
      </c>
      <c r="C14" s="131">
        <v>3264</v>
      </c>
      <c r="E14" t="s">
        <v>194</v>
      </c>
      <c r="F14" t="s">
        <v>946</v>
      </c>
      <c r="G14" t="s">
        <v>103</v>
      </c>
      <c r="H14" t="s">
        <v>888</v>
      </c>
      <c r="I14">
        <v>26</v>
      </c>
      <c r="J14" t="s">
        <v>50</v>
      </c>
    </row>
    <row r="15" spans="2:11" x14ac:dyDescent="0.2">
      <c r="B15">
        <v>14</v>
      </c>
      <c r="C15" s="131">
        <v>3265</v>
      </c>
      <c r="E15" t="s">
        <v>194</v>
      </c>
      <c r="F15" t="s">
        <v>986</v>
      </c>
      <c r="G15" t="s">
        <v>147</v>
      </c>
      <c r="H15" t="s">
        <v>889</v>
      </c>
      <c r="I15">
        <v>61</v>
      </c>
      <c r="J15" t="s">
        <v>50</v>
      </c>
    </row>
    <row r="16" spans="2:11" x14ac:dyDescent="0.2">
      <c r="B16">
        <v>15</v>
      </c>
      <c r="C16" s="131">
        <v>3266</v>
      </c>
      <c r="D16" t="s">
        <v>67</v>
      </c>
      <c r="E16" t="s">
        <v>194</v>
      </c>
      <c r="F16" t="s">
        <v>943</v>
      </c>
      <c r="G16" t="s">
        <v>103</v>
      </c>
      <c r="H16" t="s">
        <v>888</v>
      </c>
      <c r="I16">
        <v>23</v>
      </c>
      <c r="J16" t="s">
        <v>50</v>
      </c>
    </row>
    <row r="17" spans="2:10" x14ac:dyDescent="0.2">
      <c r="B17">
        <v>16</v>
      </c>
      <c r="C17" s="131">
        <v>3267</v>
      </c>
      <c r="E17" t="s">
        <v>194</v>
      </c>
      <c r="F17" t="s">
        <v>987</v>
      </c>
      <c r="G17" t="s">
        <v>988</v>
      </c>
      <c r="H17" t="s">
        <v>889</v>
      </c>
      <c r="I17">
        <v>62</v>
      </c>
      <c r="J17" t="s">
        <v>50</v>
      </c>
    </row>
    <row r="18" spans="2:10" x14ac:dyDescent="0.2">
      <c r="B18">
        <v>17</v>
      </c>
      <c r="C18" s="131">
        <v>3268</v>
      </c>
      <c r="E18" t="s">
        <v>194</v>
      </c>
      <c r="F18" t="s">
        <v>926</v>
      </c>
      <c r="G18" t="s">
        <v>412</v>
      </c>
      <c r="H18" t="s">
        <v>888</v>
      </c>
      <c r="I18">
        <v>8</v>
      </c>
      <c r="J18" t="s">
        <v>50</v>
      </c>
    </row>
    <row r="19" spans="2:10" x14ac:dyDescent="0.2">
      <c r="B19">
        <v>18</v>
      </c>
      <c r="C19" s="131">
        <v>3269</v>
      </c>
      <c r="D19" t="s">
        <v>53</v>
      </c>
      <c r="E19" t="s">
        <v>194</v>
      </c>
      <c r="F19" t="s">
        <v>921</v>
      </c>
      <c r="G19" t="s">
        <v>103</v>
      </c>
      <c r="H19" t="s">
        <v>888</v>
      </c>
      <c r="I19">
        <v>3</v>
      </c>
      <c r="J19" t="s">
        <v>50</v>
      </c>
    </row>
    <row r="20" spans="2:10" x14ac:dyDescent="0.2">
      <c r="B20">
        <v>19</v>
      </c>
      <c r="C20" s="131">
        <v>3270</v>
      </c>
      <c r="D20" t="s">
        <v>74</v>
      </c>
      <c r="E20" t="s">
        <v>194</v>
      </c>
      <c r="F20" t="s">
        <v>958</v>
      </c>
      <c r="G20" t="s">
        <v>619</v>
      </c>
      <c r="H20" t="s">
        <v>889</v>
      </c>
      <c r="I20">
        <v>37</v>
      </c>
      <c r="J20" t="s">
        <v>50</v>
      </c>
    </row>
    <row r="21" spans="2:10" x14ac:dyDescent="0.2">
      <c r="B21">
        <v>20</v>
      </c>
      <c r="C21" s="131">
        <v>3271</v>
      </c>
      <c r="D21" t="s">
        <v>51</v>
      </c>
      <c r="E21" t="s">
        <v>194</v>
      </c>
      <c r="F21" t="s">
        <v>919</v>
      </c>
      <c r="G21" t="s">
        <v>200</v>
      </c>
      <c r="H21" t="s">
        <v>888</v>
      </c>
      <c r="I21">
        <v>1</v>
      </c>
      <c r="J21" t="s">
        <v>50</v>
      </c>
    </row>
    <row r="22" spans="2:10" x14ac:dyDescent="0.2">
      <c r="B22">
        <v>21</v>
      </c>
      <c r="C22" s="131">
        <v>3272</v>
      </c>
      <c r="D22" t="s">
        <v>66</v>
      </c>
      <c r="E22" t="s">
        <v>194</v>
      </c>
      <c r="F22" t="s">
        <v>942</v>
      </c>
      <c r="G22" t="s">
        <v>559</v>
      </c>
      <c r="H22" t="s">
        <v>888</v>
      </c>
      <c r="I22">
        <v>22</v>
      </c>
      <c r="J22" t="s">
        <v>50</v>
      </c>
    </row>
    <row r="23" spans="2:10" x14ac:dyDescent="0.2">
      <c r="B23">
        <v>22</v>
      </c>
      <c r="C23" s="131">
        <v>3273</v>
      </c>
      <c r="D23" t="s">
        <v>76</v>
      </c>
      <c r="E23" t="s">
        <v>194</v>
      </c>
      <c r="F23" t="s">
        <v>960</v>
      </c>
      <c r="G23" t="s">
        <v>559</v>
      </c>
      <c r="H23" t="s">
        <v>889</v>
      </c>
      <c r="I23">
        <v>39</v>
      </c>
      <c r="J23" t="s">
        <v>50</v>
      </c>
    </row>
    <row r="24" spans="2:10" x14ac:dyDescent="0.2">
      <c r="B24">
        <v>23</v>
      </c>
      <c r="C24" s="131">
        <v>3274</v>
      </c>
      <c r="D24" t="s">
        <v>65</v>
      </c>
      <c r="E24" t="s">
        <v>194</v>
      </c>
      <c r="F24" t="s">
        <v>941</v>
      </c>
      <c r="G24" t="s">
        <v>103</v>
      </c>
      <c r="H24" t="s">
        <v>888</v>
      </c>
      <c r="I24">
        <v>21</v>
      </c>
      <c r="J24" t="s">
        <v>50</v>
      </c>
    </row>
    <row r="25" spans="2:10" x14ac:dyDescent="0.2">
      <c r="B25">
        <v>24</v>
      </c>
      <c r="C25" s="131">
        <v>3275</v>
      </c>
      <c r="D25" t="s">
        <v>91</v>
      </c>
      <c r="E25" t="s">
        <v>194</v>
      </c>
      <c r="F25" t="s">
        <v>984</v>
      </c>
      <c r="G25" t="s">
        <v>103</v>
      </c>
      <c r="H25" t="s">
        <v>889</v>
      </c>
      <c r="I25">
        <v>59</v>
      </c>
      <c r="J25" t="s">
        <v>50</v>
      </c>
    </row>
    <row r="26" spans="2:10" x14ac:dyDescent="0.2">
      <c r="B26">
        <v>25</v>
      </c>
      <c r="C26" s="131">
        <v>3276</v>
      </c>
      <c r="E26" t="s">
        <v>194</v>
      </c>
      <c r="F26" t="s">
        <v>947</v>
      </c>
      <c r="G26" t="s">
        <v>570</v>
      </c>
      <c r="H26" t="s">
        <v>888</v>
      </c>
      <c r="I26">
        <v>27</v>
      </c>
      <c r="J26" t="s">
        <v>50</v>
      </c>
    </row>
    <row r="27" spans="2:10" x14ac:dyDescent="0.2">
      <c r="B27">
        <v>26</v>
      </c>
      <c r="C27" s="131">
        <v>3277</v>
      </c>
      <c r="D27" t="s">
        <v>87</v>
      </c>
      <c r="E27" t="s">
        <v>194</v>
      </c>
      <c r="F27" t="s">
        <v>980</v>
      </c>
      <c r="G27" t="s">
        <v>225</v>
      </c>
      <c r="H27" t="s">
        <v>889</v>
      </c>
      <c r="I27">
        <v>55</v>
      </c>
      <c r="J27" t="s">
        <v>50</v>
      </c>
    </row>
    <row r="28" spans="2:10" x14ac:dyDescent="0.2">
      <c r="B28">
        <v>27</v>
      </c>
      <c r="C28" s="131">
        <v>3278</v>
      </c>
      <c r="D28" t="s">
        <v>92</v>
      </c>
      <c r="E28" t="s">
        <v>194</v>
      </c>
      <c r="F28" t="s">
        <v>985</v>
      </c>
      <c r="G28" t="s">
        <v>103</v>
      </c>
      <c r="H28" t="s">
        <v>889</v>
      </c>
      <c r="I28">
        <v>60</v>
      </c>
      <c r="J28" t="s">
        <v>50</v>
      </c>
    </row>
    <row r="29" spans="2:10" x14ac:dyDescent="0.2">
      <c r="B29">
        <v>28</v>
      </c>
      <c r="C29" s="131">
        <v>3279</v>
      </c>
      <c r="E29" t="s">
        <v>194</v>
      </c>
      <c r="F29" t="s">
        <v>962</v>
      </c>
      <c r="G29" t="s">
        <v>103</v>
      </c>
      <c r="H29" t="s">
        <v>889</v>
      </c>
      <c r="I29">
        <v>41</v>
      </c>
      <c r="J29" t="s">
        <v>50</v>
      </c>
    </row>
    <row r="30" spans="2:10" x14ac:dyDescent="0.2">
      <c r="B30">
        <v>29</v>
      </c>
      <c r="C30" s="131">
        <v>3280</v>
      </c>
      <c r="D30" t="s">
        <v>55</v>
      </c>
      <c r="E30" t="s">
        <v>194</v>
      </c>
      <c r="F30" t="s">
        <v>923</v>
      </c>
      <c r="G30" t="s">
        <v>103</v>
      </c>
      <c r="H30" t="s">
        <v>888</v>
      </c>
      <c r="I30">
        <v>5</v>
      </c>
      <c r="J30" t="s">
        <v>50</v>
      </c>
    </row>
    <row r="31" spans="2:10" x14ac:dyDescent="0.2">
      <c r="B31">
        <v>30</v>
      </c>
      <c r="C31" s="131">
        <v>3281</v>
      </c>
      <c r="D31" t="s">
        <v>89</v>
      </c>
      <c r="E31" t="s">
        <v>194</v>
      </c>
      <c r="F31" t="s">
        <v>982</v>
      </c>
      <c r="G31" t="s">
        <v>103</v>
      </c>
      <c r="H31" t="s">
        <v>889</v>
      </c>
      <c r="I31">
        <v>57</v>
      </c>
      <c r="J31" t="s">
        <v>50</v>
      </c>
    </row>
    <row r="32" spans="2:10" x14ac:dyDescent="0.2">
      <c r="B32">
        <v>31</v>
      </c>
      <c r="C32" s="131">
        <v>3282</v>
      </c>
      <c r="D32" t="s">
        <v>63</v>
      </c>
      <c r="E32" t="s">
        <v>194</v>
      </c>
      <c r="F32" t="s">
        <v>939</v>
      </c>
      <c r="G32" t="s">
        <v>466</v>
      </c>
      <c r="H32" t="s">
        <v>888</v>
      </c>
      <c r="I32">
        <v>19</v>
      </c>
      <c r="J32" t="s">
        <v>50</v>
      </c>
    </row>
    <row r="33" spans="2:10" x14ac:dyDescent="0.2">
      <c r="B33">
        <v>32</v>
      </c>
      <c r="C33" s="131">
        <v>3283</v>
      </c>
      <c r="D33" t="s">
        <v>64</v>
      </c>
      <c r="E33" t="s">
        <v>194</v>
      </c>
      <c r="F33" t="s">
        <v>940</v>
      </c>
      <c r="G33" t="s">
        <v>253</v>
      </c>
      <c r="H33" t="s">
        <v>888</v>
      </c>
      <c r="I33">
        <v>20</v>
      </c>
      <c r="J33" t="s">
        <v>50</v>
      </c>
    </row>
    <row r="34" spans="2:10" x14ac:dyDescent="0.2">
      <c r="B34">
        <v>33</v>
      </c>
      <c r="C34" s="131">
        <v>3284</v>
      </c>
      <c r="D34" t="s">
        <v>75</v>
      </c>
      <c r="E34" t="s">
        <v>194</v>
      </c>
      <c r="F34" t="s">
        <v>959</v>
      </c>
      <c r="G34" t="s">
        <v>348</v>
      </c>
      <c r="H34" t="s">
        <v>889</v>
      </c>
      <c r="I34">
        <v>38</v>
      </c>
      <c r="J34" t="s">
        <v>50</v>
      </c>
    </row>
    <row r="35" spans="2:10" x14ac:dyDescent="0.2">
      <c r="B35">
        <v>34</v>
      </c>
      <c r="C35" s="131">
        <v>3285</v>
      </c>
      <c r="D35" t="s">
        <v>90</v>
      </c>
      <c r="E35" t="s">
        <v>194</v>
      </c>
      <c r="F35" t="s">
        <v>983</v>
      </c>
      <c r="G35" t="s">
        <v>103</v>
      </c>
      <c r="H35" t="s">
        <v>889</v>
      </c>
      <c r="I35">
        <v>58</v>
      </c>
      <c r="J35" t="s">
        <v>50</v>
      </c>
    </row>
    <row r="36" spans="2:10" x14ac:dyDescent="0.2">
      <c r="B36">
        <v>35</v>
      </c>
      <c r="C36" s="131">
        <v>3286</v>
      </c>
      <c r="D36" t="s">
        <v>58</v>
      </c>
      <c r="E36" t="s">
        <v>185</v>
      </c>
      <c r="F36" t="s">
        <v>929</v>
      </c>
      <c r="G36" t="s">
        <v>251</v>
      </c>
      <c r="H36" t="s">
        <v>888</v>
      </c>
      <c r="I36">
        <v>11</v>
      </c>
      <c r="J36" t="s">
        <v>50</v>
      </c>
    </row>
    <row r="37" spans="2:10" x14ac:dyDescent="0.2">
      <c r="B37">
        <v>36</v>
      </c>
      <c r="C37" s="131">
        <v>3287</v>
      </c>
      <c r="D37" t="s">
        <v>69</v>
      </c>
      <c r="E37" t="s">
        <v>185</v>
      </c>
      <c r="F37" t="s">
        <v>948</v>
      </c>
      <c r="G37" t="s">
        <v>164</v>
      </c>
      <c r="H37" t="s">
        <v>888</v>
      </c>
      <c r="I37">
        <v>28</v>
      </c>
      <c r="J37" t="s">
        <v>50</v>
      </c>
    </row>
    <row r="38" spans="2:10" x14ac:dyDescent="0.2">
      <c r="B38">
        <v>37</v>
      </c>
      <c r="C38" s="131">
        <v>3288</v>
      </c>
      <c r="D38" t="s">
        <v>70</v>
      </c>
      <c r="E38" t="s">
        <v>185</v>
      </c>
      <c r="F38" t="s">
        <v>31</v>
      </c>
      <c r="G38" t="s">
        <v>718</v>
      </c>
      <c r="H38" t="s">
        <v>888</v>
      </c>
      <c r="I38">
        <v>29</v>
      </c>
      <c r="J38" t="s">
        <v>50</v>
      </c>
    </row>
    <row r="39" spans="2:10" x14ac:dyDescent="0.2">
      <c r="B39">
        <v>38</v>
      </c>
      <c r="C39" s="131">
        <v>3289</v>
      </c>
      <c r="D39" t="s">
        <v>79</v>
      </c>
      <c r="E39" t="s">
        <v>185</v>
      </c>
      <c r="F39" t="s">
        <v>965</v>
      </c>
      <c r="G39" t="s">
        <v>966</v>
      </c>
      <c r="H39" t="s">
        <v>889</v>
      </c>
      <c r="I39">
        <v>44</v>
      </c>
      <c r="J39" t="s">
        <v>50</v>
      </c>
    </row>
    <row r="40" spans="2:10" x14ac:dyDescent="0.2">
      <c r="B40">
        <v>39</v>
      </c>
      <c r="C40" s="131">
        <v>3290</v>
      </c>
      <c r="D40" t="s">
        <v>72</v>
      </c>
      <c r="E40" t="s">
        <v>185</v>
      </c>
      <c r="F40" t="s">
        <v>950</v>
      </c>
      <c r="G40" t="s">
        <v>951</v>
      </c>
      <c r="H40" t="s">
        <v>888</v>
      </c>
      <c r="I40">
        <v>31</v>
      </c>
      <c r="J40" t="s">
        <v>50</v>
      </c>
    </row>
    <row r="41" spans="2:10" x14ac:dyDescent="0.2">
      <c r="B41">
        <v>40</v>
      </c>
      <c r="C41" s="131">
        <v>3291</v>
      </c>
      <c r="D41" t="s">
        <v>82</v>
      </c>
      <c r="E41" t="s">
        <v>185</v>
      </c>
      <c r="F41" t="s">
        <v>970</v>
      </c>
      <c r="G41" t="s">
        <v>971</v>
      </c>
      <c r="H41" t="s">
        <v>889</v>
      </c>
      <c r="I41">
        <v>47</v>
      </c>
      <c r="J41" t="s">
        <v>50</v>
      </c>
    </row>
    <row r="42" spans="2:10" x14ac:dyDescent="0.2">
      <c r="B42">
        <v>41</v>
      </c>
      <c r="C42" s="131">
        <v>3292</v>
      </c>
      <c r="E42" t="s">
        <v>185</v>
      </c>
      <c r="F42" t="s">
        <v>997</v>
      </c>
      <c r="G42" t="s">
        <v>103</v>
      </c>
      <c r="H42" t="s">
        <v>889</v>
      </c>
      <c r="I42">
        <v>70</v>
      </c>
      <c r="J42" t="s">
        <v>50</v>
      </c>
    </row>
    <row r="43" spans="2:10" x14ac:dyDescent="0.2">
      <c r="B43">
        <v>42</v>
      </c>
      <c r="C43" s="131">
        <v>3293</v>
      </c>
      <c r="D43" t="s">
        <v>95</v>
      </c>
      <c r="E43" t="s">
        <v>185</v>
      </c>
      <c r="F43" t="s">
        <v>991</v>
      </c>
      <c r="G43" t="s">
        <v>453</v>
      </c>
      <c r="H43" t="s">
        <v>889</v>
      </c>
      <c r="I43">
        <v>65</v>
      </c>
      <c r="J43" t="s">
        <v>50</v>
      </c>
    </row>
    <row r="44" spans="2:10" x14ac:dyDescent="0.2">
      <c r="B44">
        <v>43</v>
      </c>
      <c r="C44" s="131">
        <v>3294</v>
      </c>
      <c r="E44" t="s">
        <v>185</v>
      </c>
      <c r="F44" t="s">
        <v>956</v>
      </c>
      <c r="G44" t="s">
        <v>957</v>
      </c>
      <c r="H44" t="s">
        <v>888</v>
      </c>
      <c r="I44">
        <v>36</v>
      </c>
      <c r="J44" t="s">
        <v>50</v>
      </c>
    </row>
    <row r="45" spans="2:10" x14ac:dyDescent="0.2">
      <c r="B45">
        <v>44</v>
      </c>
      <c r="C45" s="131">
        <v>3295</v>
      </c>
      <c r="D45" t="s">
        <v>78</v>
      </c>
      <c r="E45" t="s">
        <v>185</v>
      </c>
      <c r="F45" t="s">
        <v>964</v>
      </c>
      <c r="G45" t="s">
        <v>242</v>
      </c>
      <c r="H45" t="s">
        <v>889</v>
      </c>
      <c r="I45">
        <v>43</v>
      </c>
      <c r="J45" t="s">
        <v>50</v>
      </c>
    </row>
    <row r="46" spans="2:10" x14ac:dyDescent="0.2">
      <c r="B46">
        <v>45</v>
      </c>
      <c r="C46" s="131">
        <v>3296</v>
      </c>
      <c r="D46" t="s">
        <v>71</v>
      </c>
      <c r="E46" t="s">
        <v>185</v>
      </c>
      <c r="F46" t="s">
        <v>949</v>
      </c>
      <c r="G46" t="s">
        <v>840</v>
      </c>
      <c r="H46" t="s">
        <v>888</v>
      </c>
      <c r="I46">
        <v>30</v>
      </c>
      <c r="J46" t="s">
        <v>50</v>
      </c>
    </row>
    <row r="47" spans="2:10" x14ac:dyDescent="0.2">
      <c r="B47">
        <v>46</v>
      </c>
      <c r="C47" s="131">
        <v>3297</v>
      </c>
      <c r="D47" t="s">
        <v>94</v>
      </c>
      <c r="E47" t="s">
        <v>185</v>
      </c>
      <c r="F47" t="s">
        <v>990</v>
      </c>
      <c r="G47" t="s">
        <v>126</v>
      </c>
      <c r="H47" t="s">
        <v>889</v>
      </c>
      <c r="I47">
        <v>64</v>
      </c>
      <c r="J47" t="s">
        <v>50</v>
      </c>
    </row>
    <row r="48" spans="2:10" x14ac:dyDescent="0.2">
      <c r="B48">
        <v>47</v>
      </c>
      <c r="C48" s="131">
        <v>3298</v>
      </c>
      <c r="E48" t="s">
        <v>185</v>
      </c>
      <c r="F48" t="s">
        <v>979</v>
      </c>
      <c r="G48" t="s">
        <v>103</v>
      </c>
      <c r="H48" t="s">
        <v>889</v>
      </c>
      <c r="I48">
        <v>54</v>
      </c>
      <c r="J48" t="s">
        <v>50</v>
      </c>
    </row>
    <row r="49" spans="2:10" x14ac:dyDescent="0.2">
      <c r="B49">
        <v>48</v>
      </c>
      <c r="C49" s="131">
        <v>3299</v>
      </c>
      <c r="D49" t="s">
        <v>57</v>
      </c>
      <c r="E49" t="s">
        <v>185</v>
      </c>
      <c r="F49" t="s">
        <v>928</v>
      </c>
      <c r="G49" t="s">
        <v>538</v>
      </c>
      <c r="H49" t="s">
        <v>888</v>
      </c>
      <c r="I49">
        <v>10</v>
      </c>
      <c r="J49" t="s">
        <v>50</v>
      </c>
    </row>
    <row r="50" spans="2:10" x14ac:dyDescent="0.2">
      <c r="B50">
        <v>49</v>
      </c>
      <c r="C50" s="131">
        <v>3300</v>
      </c>
      <c r="E50" t="s">
        <v>185</v>
      </c>
      <c r="F50" t="s">
        <v>977</v>
      </c>
      <c r="G50" t="s">
        <v>103</v>
      </c>
      <c r="H50" t="s">
        <v>889</v>
      </c>
      <c r="I50">
        <v>52</v>
      </c>
      <c r="J50" t="s">
        <v>50</v>
      </c>
    </row>
    <row r="51" spans="2:10" x14ac:dyDescent="0.2">
      <c r="B51">
        <v>50</v>
      </c>
      <c r="C51" s="131">
        <v>3301</v>
      </c>
      <c r="D51" t="s">
        <v>98</v>
      </c>
      <c r="E51" t="s">
        <v>185</v>
      </c>
      <c r="F51" t="s">
        <v>995</v>
      </c>
      <c r="G51" t="s">
        <v>103</v>
      </c>
      <c r="H51" t="s">
        <v>889</v>
      </c>
      <c r="I51">
        <v>68</v>
      </c>
      <c r="J51" t="s">
        <v>50</v>
      </c>
    </row>
    <row r="52" spans="2:10" x14ac:dyDescent="0.2">
      <c r="B52">
        <v>51</v>
      </c>
      <c r="C52" s="131">
        <v>3302</v>
      </c>
      <c r="E52" t="s">
        <v>185</v>
      </c>
      <c r="F52" t="s">
        <v>952</v>
      </c>
      <c r="G52" t="s">
        <v>103</v>
      </c>
      <c r="H52" t="s">
        <v>888</v>
      </c>
      <c r="I52">
        <v>33</v>
      </c>
      <c r="J52" t="s">
        <v>50</v>
      </c>
    </row>
    <row r="53" spans="2:10" x14ac:dyDescent="0.2">
      <c r="B53">
        <v>52</v>
      </c>
      <c r="C53" s="131">
        <v>3303</v>
      </c>
      <c r="D53" t="s">
        <v>99</v>
      </c>
      <c r="E53" t="s">
        <v>185</v>
      </c>
      <c r="F53" t="s">
        <v>996</v>
      </c>
      <c r="G53" t="s">
        <v>103</v>
      </c>
      <c r="H53" t="s">
        <v>889</v>
      </c>
      <c r="I53">
        <v>69</v>
      </c>
      <c r="J53" t="s">
        <v>50</v>
      </c>
    </row>
    <row r="54" spans="2:10" x14ac:dyDescent="0.2">
      <c r="B54">
        <v>53</v>
      </c>
      <c r="C54" s="131">
        <v>3304</v>
      </c>
      <c r="E54" t="s">
        <v>185</v>
      </c>
      <c r="F54" t="s">
        <v>978</v>
      </c>
      <c r="G54" t="s">
        <v>103</v>
      </c>
      <c r="H54" t="s">
        <v>889</v>
      </c>
      <c r="I54">
        <v>53</v>
      </c>
      <c r="J54" t="s">
        <v>50</v>
      </c>
    </row>
    <row r="55" spans="2:10" x14ac:dyDescent="0.2">
      <c r="B55">
        <v>54</v>
      </c>
      <c r="C55" s="131">
        <v>3305</v>
      </c>
      <c r="D55" t="s">
        <v>62</v>
      </c>
      <c r="E55" t="s">
        <v>185</v>
      </c>
      <c r="F55" t="s">
        <v>934</v>
      </c>
      <c r="G55" t="s">
        <v>103</v>
      </c>
      <c r="H55" t="s">
        <v>888</v>
      </c>
      <c r="I55">
        <v>15</v>
      </c>
      <c r="J55" t="s">
        <v>50</v>
      </c>
    </row>
    <row r="56" spans="2:10" x14ac:dyDescent="0.2">
      <c r="B56">
        <v>55</v>
      </c>
      <c r="C56" s="131">
        <v>3306</v>
      </c>
      <c r="E56" t="s">
        <v>185</v>
      </c>
      <c r="F56" t="s">
        <v>955</v>
      </c>
      <c r="G56" t="s">
        <v>103</v>
      </c>
      <c r="H56" t="s">
        <v>888</v>
      </c>
      <c r="I56">
        <v>35</v>
      </c>
      <c r="J56" t="s">
        <v>50</v>
      </c>
    </row>
    <row r="57" spans="2:10" x14ac:dyDescent="0.2">
      <c r="B57">
        <v>56</v>
      </c>
      <c r="C57" s="131">
        <v>3307</v>
      </c>
      <c r="E57" t="s">
        <v>185</v>
      </c>
      <c r="F57" t="s">
        <v>954</v>
      </c>
      <c r="G57" t="s">
        <v>103</v>
      </c>
      <c r="H57" t="s">
        <v>888</v>
      </c>
      <c r="I57">
        <v>34</v>
      </c>
      <c r="J57" t="s">
        <v>50</v>
      </c>
    </row>
    <row r="58" spans="2:10" x14ac:dyDescent="0.2">
      <c r="B58">
        <v>57</v>
      </c>
      <c r="C58" s="131">
        <v>3308</v>
      </c>
      <c r="D58" t="s">
        <v>85</v>
      </c>
      <c r="E58" t="s">
        <v>185</v>
      </c>
      <c r="F58" t="s">
        <v>975</v>
      </c>
      <c r="G58" t="s">
        <v>103</v>
      </c>
      <c r="H58" t="s">
        <v>889</v>
      </c>
      <c r="I58">
        <v>50</v>
      </c>
      <c r="J58" t="s">
        <v>50</v>
      </c>
    </row>
    <row r="59" spans="2:10" x14ac:dyDescent="0.2">
      <c r="B59">
        <v>58</v>
      </c>
      <c r="C59" s="131">
        <v>3309</v>
      </c>
      <c r="D59" t="s">
        <v>83</v>
      </c>
      <c r="E59" t="s">
        <v>185</v>
      </c>
      <c r="F59" t="s">
        <v>972</v>
      </c>
      <c r="G59" t="s">
        <v>103</v>
      </c>
      <c r="H59" t="s">
        <v>889</v>
      </c>
      <c r="I59">
        <v>48</v>
      </c>
      <c r="J59" t="s">
        <v>50</v>
      </c>
    </row>
    <row r="60" spans="2:10" x14ac:dyDescent="0.2">
      <c r="B60">
        <v>59</v>
      </c>
      <c r="C60" s="131">
        <v>3310</v>
      </c>
      <c r="D60" t="s">
        <v>96</v>
      </c>
      <c r="E60" t="s">
        <v>185</v>
      </c>
      <c r="F60" t="s">
        <v>992</v>
      </c>
      <c r="G60" t="s">
        <v>575</v>
      </c>
      <c r="H60" t="s">
        <v>889</v>
      </c>
      <c r="I60">
        <v>66</v>
      </c>
      <c r="J60" t="s">
        <v>50</v>
      </c>
    </row>
    <row r="61" spans="2:10" x14ac:dyDescent="0.2">
      <c r="B61">
        <v>60</v>
      </c>
      <c r="C61" s="131">
        <v>3311</v>
      </c>
      <c r="D61" t="s">
        <v>61</v>
      </c>
      <c r="E61" t="s">
        <v>185</v>
      </c>
      <c r="F61" t="s">
        <v>933</v>
      </c>
      <c r="G61" t="s">
        <v>103</v>
      </c>
      <c r="H61" t="s">
        <v>888</v>
      </c>
      <c r="I61">
        <v>14</v>
      </c>
      <c r="J61" t="s">
        <v>50</v>
      </c>
    </row>
    <row r="62" spans="2:10" x14ac:dyDescent="0.2">
      <c r="B62">
        <v>61</v>
      </c>
      <c r="C62" s="131">
        <v>3312</v>
      </c>
      <c r="D62" t="s">
        <v>60</v>
      </c>
      <c r="E62" t="s">
        <v>185</v>
      </c>
      <c r="F62" t="s">
        <v>932</v>
      </c>
      <c r="G62" t="s">
        <v>103</v>
      </c>
      <c r="H62" t="s">
        <v>888</v>
      </c>
      <c r="I62">
        <v>13</v>
      </c>
      <c r="J62" t="s">
        <v>50</v>
      </c>
    </row>
    <row r="63" spans="2:10" x14ac:dyDescent="0.2">
      <c r="B63">
        <v>62</v>
      </c>
      <c r="C63" s="131">
        <v>3313</v>
      </c>
      <c r="E63" t="s">
        <v>185</v>
      </c>
      <c r="F63" t="s">
        <v>935</v>
      </c>
      <c r="G63" t="s">
        <v>103</v>
      </c>
      <c r="H63" t="s">
        <v>888</v>
      </c>
      <c r="I63">
        <v>16</v>
      </c>
      <c r="J63" t="s">
        <v>50</v>
      </c>
    </row>
    <row r="64" spans="2:10" x14ac:dyDescent="0.2">
      <c r="B64">
        <v>63</v>
      </c>
      <c r="C64" s="131">
        <v>3314</v>
      </c>
      <c r="D64" t="s">
        <v>73</v>
      </c>
      <c r="E64" t="s">
        <v>185</v>
      </c>
      <c r="F64" t="s">
        <v>953</v>
      </c>
      <c r="G64" t="s">
        <v>103</v>
      </c>
      <c r="H64" t="s">
        <v>888</v>
      </c>
      <c r="I64">
        <v>32</v>
      </c>
      <c r="J64" t="s">
        <v>50</v>
      </c>
    </row>
    <row r="65" spans="1:18" x14ac:dyDescent="0.2">
      <c r="B65">
        <v>64</v>
      </c>
      <c r="C65" s="131">
        <v>3315</v>
      </c>
      <c r="E65" t="s">
        <v>185</v>
      </c>
      <c r="F65" t="s">
        <v>936</v>
      </c>
      <c r="G65" t="s">
        <v>937</v>
      </c>
      <c r="H65" t="s">
        <v>888</v>
      </c>
      <c r="I65">
        <v>17</v>
      </c>
      <c r="J65" t="s">
        <v>50</v>
      </c>
    </row>
    <row r="66" spans="1:18" x14ac:dyDescent="0.2">
      <c r="B66">
        <v>65</v>
      </c>
      <c r="C66" s="131">
        <v>3316</v>
      </c>
      <c r="D66" t="s">
        <v>80</v>
      </c>
      <c r="E66" t="s">
        <v>185</v>
      </c>
      <c r="F66" t="s">
        <v>967</v>
      </c>
      <c r="G66" t="s">
        <v>175</v>
      </c>
      <c r="H66" t="s">
        <v>889</v>
      </c>
      <c r="I66">
        <v>45</v>
      </c>
      <c r="J66" t="s">
        <v>50</v>
      </c>
    </row>
    <row r="67" spans="1:18" x14ac:dyDescent="0.2">
      <c r="B67">
        <v>66</v>
      </c>
      <c r="C67" s="131">
        <v>3317</v>
      </c>
      <c r="D67" t="s">
        <v>86</v>
      </c>
      <c r="E67" t="s">
        <v>185</v>
      </c>
      <c r="F67" t="s">
        <v>976</v>
      </c>
      <c r="G67" t="s">
        <v>103</v>
      </c>
      <c r="H67" t="s">
        <v>889</v>
      </c>
      <c r="I67">
        <v>51</v>
      </c>
      <c r="J67" t="s">
        <v>50</v>
      </c>
    </row>
    <row r="68" spans="1:18" x14ac:dyDescent="0.2">
      <c r="B68">
        <v>67</v>
      </c>
      <c r="C68" s="131">
        <v>3318</v>
      </c>
      <c r="D68" t="s">
        <v>81</v>
      </c>
      <c r="E68" t="s">
        <v>185</v>
      </c>
      <c r="F68" t="s">
        <v>968</v>
      </c>
      <c r="G68" t="s">
        <v>969</v>
      </c>
      <c r="H68" t="s">
        <v>889</v>
      </c>
      <c r="I68">
        <v>46</v>
      </c>
      <c r="J68" t="s">
        <v>50</v>
      </c>
    </row>
    <row r="69" spans="1:18" x14ac:dyDescent="0.2">
      <c r="B69">
        <v>68</v>
      </c>
      <c r="C69" s="131">
        <v>3319</v>
      </c>
      <c r="D69" t="s">
        <v>84</v>
      </c>
      <c r="E69" t="s">
        <v>185</v>
      </c>
      <c r="F69" t="s">
        <v>973</v>
      </c>
      <c r="G69" t="s">
        <v>974</v>
      </c>
      <c r="H69" t="s">
        <v>889</v>
      </c>
      <c r="I69">
        <v>49</v>
      </c>
      <c r="J69" t="s">
        <v>50</v>
      </c>
    </row>
    <row r="70" spans="1:18" x14ac:dyDescent="0.2">
      <c r="B70">
        <v>69</v>
      </c>
      <c r="C70" s="131">
        <v>3320</v>
      </c>
      <c r="D70" t="s">
        <v>97</v>
      </c>
      <c r="E70" t="s">
        <v>185</v>
      </c>
      <c r="F70" t="s">
        <v>993</v>
      </c>
      <c r="G70" t="s">
        <v>994</v>
      </c>
      <c r="H70" t="s">
        <v>889</v>
      </c>
      <c r="I70">
        <v>67</v>
      </c>
      <c r="J70" t="s">
        <v>50</v>
      </c>
    </row>
    <row r="71" spans="1:18" x14ac:dyDescent="0.2">
      <c r="B71">
        <v>70</v>
      </c>
      <c r="C71" s="131">
        <v>3321</v>
      </c>
      <c r="E71" t="s">
        <v>185</v>
      </c>
      <c r="F71" t="s">
        <v>998</v>
      </c>
      <c r="G71" t="s">
        <v>999</v>
      </c>
      <c r="H71" t="s">
        <v>889</v>
      </c>
      <c r="I71">
        <v>71</v>
      </c>
      <c r="J71" t="s">
        <v>50</v>
      </c>
    </row>
    <row r="72" spans="1:18" ht="15" x14ac:dyDescent="0.2">
      <c r="B72">
        <v>71</v>
      </c>
      <c r="C72" s="131">
        <v>3322</v>
      </c>
      <c r="D72" s="168"/>
      <c r="E72" s="168" t="s">
        <v>185</v>
      </c>
      <c r="F72" s="168" t="s">
        <v>222</v>
      </c>
      <c r="G72" s="168" t="s">
        <v>103</v>
      </c>
      <c r="H72" s="167" t="s">
        <v>1061</v>
      </c>
      <c r="I72">
        <v>72</v>
      </c>
      <c r="J72" t="s">
        <v>50</v>
      </c>
      <c r="K72" s="57" t="s">
        <v>1080</v>
      </c>
    </row>
    <row r="73" spans="1:18" x14ac:dyDescent="0.2">
      <c r="B73">
        <v>72</v>
      </c>
      <c r="C73" s="131">
        <v>3323</v>
      </c>
      <c r="D73" t="s">
        <v>59</v>
      </c>
      <c r="E73" t="s">
        <v>185</v>
      </c>
      <c r="F73" t="s">
        <v>930</v>
      </c>
      <c r="G73" t="s">
        <v>931</v>
      </c>
      <c r="H73" t="s">
        <v>888</v>
      </c>
      <c r="I73">
        <v>12</v>
      </c>
      <c r="J73" t="s">
        <v>50</v>
      </c>
    </row>
    <row r="74" spans="1:18" ht="21" x14ac:dyDescent="0.2">
      <c r="B74">
        <v>73</v>
      </c>
      <c r="C74" s="131">
        <v>3324</v>
      </c>
      <c r="D74" t="s">
        <v>93</v>
      </c>
      <c r="E74" t="s">
        <v>185</v>
      </c>
      <c r="F74" t="s">
        <v>989</v>
      </c>
      <c r="G74" t="s">
        <v>171</v>
      </c>
      <c r="H74" t="s">
        <v>889</v>
      </c>
      <c r="I74">
        <v>63</v>
      </c>
      <c r="J74" t="s">
        <v>50</v>
      </c>
      <c r="N74" s="101" t="s">
        <v>185</v>
      </c>
      <c r="O74" s="101" t="s">
        <v>226</v>
      </c>
      <c r="P74" s="101" t="s">
        <v>103</v>
      </c>
      <c r="Q74" s="102" t="s">
        <v>1031</v>
      </c>
      <c r="R74" s="126" t="s">
        <v>1060</v>
      </c>
    </row>
    <row r="75" spans="1:18" ht="21" x14ac:dyDescent="0.2">
      <c r="B75">
        <v>74</v>
      </c>
      <c r="C75" s="131">
        <v>3325</v>
      </c>
      <c r="E75" t="s">
        <v>185</v>
      </c>
      <c r="F75" t="s">
        <v>938</v>
      </c>
      <c r="G75" t="s">
        <v>103</v>
      </c>
      <c r="H75" t="s">
        <v>888</v>
      </c>
      <c r="I75">
        <v>18</v>
      </c>
      <c r="J75" t="s">
        <v>50</v>
      </c>
      <c r="N75" s="101" t="s">
        <v>194</v>
      </c>
      <c r="O75" s="101" t="s">
        <v>212</v>
      </c>
      <c r="P75" s="101" t="s">
        <v>103</v>
      </c>
      <c r="Q75" s="102" t="s">
        <v>1031</v>
      </c>
      <c r="R75" s="126" t="s">
        <v>1061</v>
      </c>
    </row>
    <row r="76" spans="1:18" x14ac:dyDescent="0.2">
      <c r="B76">
        <v>75</v>
      </c>
      <c r="C76" s="131">
        <v>3326</v>
      </c>
      <c r="D76" t="s">
        <v>56</v>
      </c>
      <c r="E76" t="s">
        <v>185</v>
      </c>
      <c r="F76" t="s">
        <v>927</v>
      </c>
      <c r="G76" t="s">
        <v>774</v>
      </c>
      <c r="H76" t="s">
        <v>888</v>
      </c>
      <c r="I76">
        <v>9</v>
      </c>
      <c r="J76" t="s">
        <v>50</v>
      </c>
    </row>
    <row r="77" spans="1:18" x14ac:dyDescent="0.2">
      <c r="A77" s="131"/>
      <c r="B77">
        <v>76</v>
      </c>
      <c r="C77" s="164">
        <v>3327</v>
      </c>
      <c r="D77" s="164"/>
      <c r="E77" s="164" t="s">
        <v>194</v>
      </c>
      <c r="F77" s="164" t="s">
        <v>216</v>
      </c>
      <c r="G77" s="164" t="s">
        <v>103</v>
      </c>
      <c r="H77" s="164" t="s">
        <v>1059</v>
      </c>
      <c r="I77" s="164"/>
      <c r="J77" s="131"/>
    </row>
    <row r="78" spans="1:18" x14ac:dyDescent="0.2">
      <c r="A78" s="131"/>
      <c r="B78">
        <v>77</v>
      </c>
      <c r="C78" s="164">
        <v>3328</v>
      </c>
      <c r="D78" s="164"/>
      <c r="E78" s="164" t="s">
        <v>194</v>
      </c>
      <c r="F78" s="164" t="s">
        <v>219</v>
      </c>
      <c r="G78" s="164" t="s">
        <v>103</v>
      </c>
      <c r="H78" s="164" t="s">
        <v>1059</v>
      </c>
      <c r="I78" s="164"/>
      <c r="J78" s="131"/>
    </row>
    <row r="79" spans="1:18" x14ac:dyDescent="0.2">
      <c r="A79" s="131"/>
      <c r="B79">
        <v>78</v>
      </c>
      <c r="C79" s="164">
        <v>3329</v>
      </c>
      <c r="D79" s="164"/>
      <c r="E79" s="164" t="s">
        <v>194</v>
      </c>
      <c r="F79" s="164" t="s">
        <v>207</v>
      </c>
      <c r="G79" s="164" t="s">
        <v>103</v>
      </c>
      <c r="H79" s="164" t="s">
        <v>1059</v>
      </c>
      <c r="I79" s="164"/>
      <c r="J79" s="131"/>
    </row>
    <row r="80" spans="1:18" x14ac:dyDescent="0.2">
      <c r="A80" s="131"/>
      <c r="B80">
        <v>79</v>
      </c>
      <c r="C80" s="164">
        <v>3330</v>
      </c>
      <c r="D80" s="164"/>
      <c r="E80" s="164" t="s">
        <v>194</v>
      </c>
      <c r="F80" s="164" t="s">
        <v>284</v>
      </c>
      <c r="G80" s="164" t="s">
        <v>214</v>
      </c>
      <c r="H80" s="164" t="s">
        <v>1060</v>
      </c>
      <c r="I80" s="164"/>
      <c r="J80" s="131"/>
    </row>
    <row r="81" spans="1:10" x14ac:dyDescent="0.2">
      <c r="A81" s="131"/>
      <c r="B81">
        <v>80</v>
      </c>
      <c r="C81" s="164">
        <v>3331</v>
      </c>
      <c r="D81" s="164"/>
      <c r="E81" s="164" t="s">
        <v>194</v>
      </c>
      <c r="F81" s="164" t="s">
        <v>198</v>
      </c>
      <c r="G81" s="164" t="s">
        <v>103</v>
      </c>
      <c r="H81" s="164" t="s">
        <v>1060</v>
      </c>
      <c r="I81" s="164"/>
      <c r="J81" s="131"/>
    </row>
    <row r="82" spans="1:10" ht="15" x14ac:dyDescent="0.2">
      <c r="A82" s="131"/>
      <c r="B82">
        <v>81</v>
      </c>
      <c r="C82" s="164">
        <v>3332</v>
      </c>
      <c r="D82" s="164"/>
      <c r="E82" s="165" t="s">
        <v>194</v>
      </c>
      <c r="F82" s="166" t="s">
        <v>201</v>
      </c>
      <c r="G82" s="166" t="s">
        <v>103</v>
      </c>
      <c r="H82" s="167" t="s">
        <v>1061</v>
      </c>
      <c r="I82" s="164"/>
      <c r="J82" s="131"/>
    </row>
    <row r="83" spans="1:10" ht="15" x14ac:dyDescent="0.2">
      <c r="A83" s="131"/>
      <c r="B83">
        <v>82</v>
      </c>
      <c r="C83" s="164">
        <v>3333</v>
      </c>
      <c r="D83" s="171"/>
      <c r="E83" s="166" t="s">
        <v>194</v>
      </c>
      <c r="F83" s="166" t="s">
        <v>195</v>
      </c>
      <c r="G83" s="166" t="s">
        <v>103</v>
      </c>
      <c r="H83" s="167" t="s">
        <v>1061</v>
      </c>
      <c r="I83" s="164"/>
      <c r="J83" s="131"/>
    </row>
    <row r="84" spans="1:10" x14ac:dyDescent="0.2">
      <c r="A84" s="131"/>
      <c r="B84">
        <v>83</v>
      </c>
      <c r="C84" s="164">
        <v>3334</v>
      </c>
      <c r="D84" s="170"/>
      <c r="E84" s="164" t="s">
        <v>185</v>
      </c>
      <c r="F84" s="164" t="s">
        <v>186</v>
      </c>
      <c r="G84" s="164" t="s">
        <v>103</v>
      </c>
      <c r="H84" s="164" t="s">
        <v>1059</v>
      </c>
      <c r="I84" s="164"/>
      <c r="J84" s="131"/>
    </row>
    <row r="85" spans="1:10" x14ac:dyDescent="0.2">
      <c r="A85" s="131"/>
      <c r="B85">
        <v>84</v>
      </c>
      <c r="C85" s="164">
        <v>3335</v>
      </c>
      <c r="D85" s="164"/>
      <c r="E85" s="164" t="s">
        <v>121</v>
      </c>
      <c r="F85" s="164" t="s">
        <v>204</v>
      </c>
      <c r="G85" s="164" t="s">
        <v>103</v>
      </c>
      <c r="H85" s="164" t="s">
        <v>1060</v>
      </c>
      <c r="I85" s="164"/>
      <c r="J85" s="131"/>
    </row>
    <row r="86" spans="1:10" x14ac:dyDescent="0.2">
      <c r="A86" s="131"/>
      <c r="B86">
        <v>85</v>
      </c>
      <c r="C86" s="164">
        <v>3336</v>
      </c>
      <c r="D86" s="164"/>
      <c r="E86" s="164" t="s">
        <v>185</v>
      </c>
      <c r="F86" s="164" t="s">
        <v>130</v>
      </c>
      <c r="G86" s="164" t="s">
        <v>103</v>
      </c>
      <c r="H86" s="164" t="s">
        <v>1059</v>
      </c>
      <c r="I86" s="164"/>
      <c r="J86" s="131"/>
    </row>
    <row r="87" spans="1:10" ht="15" x14ac:dyDescent="0.2">
      <c r="A87" s="131"/>
      <c r="B87">
        <v>86</v>
      </c>
      <c r="C87" s="164">
        <v>3337</v>
      </c>
      <c r="D87" s="168"/>
      <c r="E87" s="168" t="s">
        <v>185</v>
      </c>
      <c r="F87" s="168" t="s">
        <v>190</v>
      </c>
      <c r="G87" s="168" t="s">
        <v>103</v>
      </c>
      <c r="H87" s="167" t="s">
        <v>1061</v>
      </c>
      <c r="I87" s="164"/>
      <c r="J87" s="131"/>
    </row>
    <row r="88" spans="1:10" x14ac:dyDescent="0.2">
      <c r="A88" s="131"/>
      <c r="B88">
        <v>87</v>
      </c>
      <c r="C88" s="164">
        <v>3338</v>
      </c>
      <c r="D88" s="169" t="s">
        <v>1058</v>
      </c>
      <c r="E88" s="164" t="s">
        <v>121</v>
      </c>
      <c r="F88" s="164" t="s">
        <v>282</v>
      </c>
      <c r="G88" s="164" t="s">
        <v>283</v>
      </c>
      <c r="H88" s="164" t="s">
        <v>1060</v>
      </c>
      <c r="I88" s="164"/>
      <c r="J88" s="131"/>
    </row>
    <row r="89" spans="1:10" ht="15" x14ac:dyDescent="0.2">
      <c r="A89" s="131"/>
      <c r="B89">
        <v>88</v>
      </c>
      <c r="C89" s="164">
        <v>3339</v>
      </c>
      <c r="D89" s="168"/>
      <c r="E89" s="166" t="s">
        <v>185</v>
      </c>
      <c r="F89" s="166" t="s">
        <v>209</v>
      </c>
      <c r="G89" s="166" t="s">
        <v>103</v>
      </c>
      <c r="H89" s="167" t="s">
        <v>1061</v>
      </c>
      <c r="I89" s="164"/>
      <c r="J89" s="131"/>
    </row>
    <row r="90" spans="1:10" ht="15" x14ac:dyDescent="0.2">
      <c r="A90" s="131"/>
      <c r="B90">
        <v>89</v>
      </c>
      <c r="C90" s="164">
        <v>3340</v>
      </c>
      <c r="D90" s="168"/>
      <c r="E90" s="168"/>
      <c r="F90" s="168"/>
      <c r="G90" s="168"/>
      <c r="H90" s="167"/>
      <c r="I90" s="164"/>
      <c r="J90" s="131"/>
    </row>
    <row r="92" spans="1:10" x14ac:dyDescent="0.2">
      <c r="H92" s="57"/>
    </row>
    <row r="93" spans="1:10" x14ac:dyDescent="0.2">
      <c r="H93" s="57"/>
    </row>
    <row r="94" spans="1:10" x14ac:dyDescent="0.2">
      <c r="H94" s="57"/>
    </row>
    <row r="95" spans="1:10" x14ac:dyDescent="0.2">
      <c r="H95" s="57"/>
    </row>
    <row r="96" spans="1:10" x14ac:dyDescent="0.2">
      <c r="H96" s="57"/>
    </row>
    <row r="97" spans="4:8" ht="15" x14ac:dyDescent="0.2">
      <c r="E97" s="128"/>
      <c r="F97" s="129"/>
      <c r="G97" s="129"/>
      <c r="H97" s="130"/>
    </row>
    <row r="98" spans="4:8" ht="15" x14ac:dyDescent="0.2">
      <c r="E98" s="129"/>
      <c r="F98" s="129"/>
      <c r="G98" s="129"/>
      <c r="H98" s="130"/>
    </row>
    <row r="99" spans="4:8" x14ac:dyDescent="0.2">
      <c r="H99" s="57"/>
    </row>
    <row r="100" spans="4:8" x14ac:dyDescent="0.2">
      <c r="H100" s="57"/>
    </row>
    <row r="101" spans="4:8" x14ac:dyDescent="0.2">
      <c r="H101" s="57"/>
    </row>
    <row r="102" spans="4:8" ht="15" x14ac:dyDescent="0.2">
      <c r="D102" s="127"/>
      <c r="E102" s="127"/>
      <c r="F102" s="127"/>
      <c r="G102" s="127"/>
      <c r="H102" s="130"/>
    </row>
    <row r="103" spans="4:8" x14ac:dyDescent="0.2">
      <c r="D103" s="125"/>
      <c r="H103" s="57"/>
    </row>
    <row r="104" spans="4:8" ht="15" x14ac:dyDescent="0.2">
      <c r="D104" s="127"/>
      <c r="E104" s="129"/>
      <c r="F104" s="129"/>
      <c r="G104" s="129"/>
      <c r="H104" s="130"/>
    </row>
    <row r="105" spans="4:8" ht="15" x14ac:dyDescent="0.2">
      <c r="D105" s="127"/>
      <c r="E105" s="127"/>
      <c r="F105" s="127"/>
      <c r="G105" s="127"/>
      <c r="H105" s="130"/>
    </row>
  </sheetData>
  <autoFilter ref="B1:J90" xr:uid="{023E1767-79E2-4599-B5DA-87C5232EDBC6}">
    <sortState xmlns:xlrd2="http://schemas.microsoft.com/office/spreadsheetml/2017/richdata2" ref="B6:J35">
      <sortCondition ref="F1:F90"/>
    </sortState>
  </autoFilter>
  <phoneticPr fontId="28" type="noConversion"/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41B47"/>
    <outlinePr summaryBelow="0" summaryRight="0"/>
  </sheetPr>
  <dimension ref="B1:L28"/>
  <sheetViews>
    <sheetView workbookViewId="0">
      <selection activeCell="G18" sqref="G18"/>
    </sheetView>
  </sheetViews>
  <sheetFormatPr defaultColWidth="12.5703125" defaultRowHeight="19.5" customHeight="1" x14ac:dyDescent="0.2"/>
  <cols>
    <col min="1" max="1" width="10.140625" customWidth="1"/>
    <col min="3" max="3" width="16.42578125" customWidth="1"/>
    <col min="7" max="7" width="31.140625" customWidth="1"/>
  </cols>
  <sheetData>
    <row r="1" spans="2:8" ht="19.5" customHeight="1" x14ac:dyDescent="0.2">
      <c r="B1" s="1" t="s">
        <v>866</v>
      </c>
    </row>
    <row r="2" spans="2:8" ht="19.5" customHeight="1" x14ac:dyDescent="0.2">
      <c r="B2" s="47">
        <v>2696</v>
      </c>
      <c r="C2" s="47">
        <v>1579901641041</v>
      </c>
      <c r="D2" s="48" t="s">
        <v>101</v>
      </c>
      <c r="E2" s="48" t="s">
        <v>867</v>
      </c>
      <c r="F2" s="48" t="s">
        <v>540</v>
      </c>
      <c r="G2" s="48" t="s">
        <v>868</v>
      </c>
    </row>
    <row r="3" spans="2:8" ht="19.5" customHeight="1" x14ac:dyDescent="0.2">
      <c r="B3" s="47">
        <v>2888</v>
      </c>
      <c r="C3" s="47">
        <v>1579901629750</v>
      </c>
      <c r="D3" s="48" t="s">
        <v>121</v>
      </c>
      <c r="E3" s="48" t="s">
        <v>869</v>
      </c>
      <c r="F3" s="48" t="s">
        <v>256</v>
      </c>
      <c r="G3" s="48" t="s">
        <v>870</v>
      </c>
    </row>
    <row r="4" spans="2:8" ht="19.5" customHeight="1" x14ac:dyDescent="0.2">
      <c r="B4" s="47">
        <v>2620</v>
      </c>
      <c r="C4" s="47">
        <v>1571500115502</v>
      </c>
      <c r="D4" s="48" t="s">
        <v>101</v>
      </c>
      <c r="E4" s="48" t="s">
        <v>812</v>
      </c>
      <c r="F4" s="48" t="s">
        <v>175</v>
      </c>
      <c r="G4" s="48" t="s">
        <v>811</v>
      </c>
    </row>
    <row r="5" spans="2:8" ht="19.5" customHeight="1" x14ac:dyDescent="0.2">
      <c r="B5" s="47">
        <v>2624</v>
      </c>
      <c r="C5" s="47">
        <v>1571500118099</v>
      </c>
      <c r="D5" s="48" t="s">
        <v>101</v>
      </c>
      <c r="E5" s="48" t="s">
        <v>502</v>
      </c>
      <c r="F5" s="48" t="s">
        <v>662</v>
      </c>
      <c r="G5" s="48" t="s">
        <v>813</v>
      </c>
    </row>
    <row r="6" spans="2:8" ht="19.5" customHeight="1" x14ac:dyDescent="0.2">
      <c r="B6" s="47">
        <v>2630</v>
      </c>
      <c r="C6" s="47">
        <v>1100401604702</v>
      </c>
      <c r="D6" s="48" t="s">
        <v>121</v>
      </c>
      <c r="E6" s="48" t="s">
        <v>814</v>
      </c>
      <c r="F6" s="48" t="s">
        <v>815</v>
      </c>
      <c r="G6" s="48" t="s">
        <v>811</v>
      </c>
    </row>
    <row r="7" spans="2:8" ht="19.5" customHeight="1" x14ac:dyDescent="0.2">
      <c r="B7" s="47">
        <v>2652</v>
      </c>
      <c r="C7" s="47">
        <v>571500038011</v>
      </c>
      <c r="D7" s="48" t="s">
        <v>121</v>
      </c>
      <c r="E7" s="48" t="s">
        <v>816</v>
      </c>
      <c r="F7" s="48" t="s">
        <v>103</v>
      </c>
      <c r="G7" s="48" t="s">
        <v>813</v>
      </c>
    </row>
    <row r="8" spans="2:8" ht="19.5" customHeight="1" x14ac:dyDescent="0.2">
      <c r="B8" s="47">
        <v>2657</v>
      </c>
      <c r="C8" s="47">
        <v>1571500119001</v>
      </c>
      <c r="D8" s="48" t="s">
        <v>121</v>
      </c>
      <c r="E8" s="48" t="s">
        <v>817</v>
      </c>
      <c r="F8" s="48" t="s">
        <v>124</v>
      </c>
      <c r="G8" s="48" t="s">
        <v>813</v>
      </c>
    </row>
    <row r="9" spans="2:8" ht="19.5" customHeight="1" x14ac:dyDescent="0.2">
      <c r="B9" s="47">
        <v>2532</v>
      </c>
      <c r="C9" s="47" t="s">
        <v>871</v>
      </c>
      <c r="D9" s="48" t="s">
        <v>101</v>
      </c>
      <c r="E9" s="48" t="s">
        <v>872</v>
      </c>
      <c r="F9" s="48" t="s">
        <v>873</v>
      </c>
      <c r="G9" s="48" t="s">
        <v>820</v>
      </c>
    </row>
    <row r="10" spans="2:8" ht="19.5" customHeight="1" x14ac:dyDescent="0.2">
      <c r="B10" s="47">
        <v>2552</v>
      </c>
      <c r="C10" s="47" t="s">
        <v>874</v>
      </c>
      <c r="D10" s="48" t="s">
        <v>121</v>
      </c>
      <c r="E10" s="48" t="s">
        <v>875</v>
      </c>
      <c r="F10" s="48" t="s">
        <v>103</v>
      </c>
      <c r="G10" s="48" t="s">
        <v>820</v>
      </c>
    </row>
    <row r="11" spans="2:8" ht="19.5" customHeight="1" x14ac:dyDescent="0.2">
      <c r="B11" s="47">
        <v>2666</v>
      </c>
      <c r="C11" s="47">
        <v>1571500110306</v>
      </c>
      <c r="D11" s="48" t="s">
        <v>101</v>
      </c>
      <c r="E11" s="48" t="s">
        <v>864</v>
      </c>
      <c r="F11" s="48" t="s">
        <v>865</v>
      </c>
      <c r="G11" s="48" t="s">
        <v>841</v>
      </c>
    </row>
    <row r="12" spans="2:8" ht="19.5" customHeight="1" x14ac:dyDescent="0.2">
      <c r="B12" s="47">
        <v>2500</v>
      </c>
      <c r="C12" s="47">
        <v>1571500113836</v>
      </c>
      <c r="D12" s="48" t="s">
        <v>101</v>
      </c>
      <c r="E12" s="48" t="s">
        <v>876</v>
      </c>
      <c r="F12" s="48" t="s">
        <v>128</v>
      </c>
      <c r="G12" s="48" t="s">
        <v>820</v>
      </c>
    </row>
    <row r="13" spans="2:8" ht="19.5" customHeight="1" x14ac:dyDescent="0.55000000000000004">
      <c r="B13" s="40">
        <v>2764</v>
      </c>
      <c r="C13" s="41">
        <v>571500037643</v>
      </c>
      <c r="D13" s="42" t="s">
        <v>101</v>
      </c>
      <c r="E13" s="42" t="s">
        <v>877</v>
      </c>
      <c r="F13" s="43" t="s">
        <v>103</v>
      </c>
      <c r="G13" s="14" t="s">
        <v>34</v>
      </c>
      <c r="H13" s="1" t="s">
        <v>878</v>
      </c>
    </row>
    <row r="14" spans="2:8" ht="19.5" customHeight="1" x14ac:dyDescent="0.2">
      <c r="B14" s="44">
        <v>2951</v>
      </c>
      <c r="C14" s="45">
        <v>1104301363294</v>
      </c>
      <c r="D14" s="46" t="s">
        <v>101</v>
      </c>
      <c r="E14" s="46" t="s">
        <v>879</v>
      </c>
      <c r="F14" s="46" t="s">
        <v>722</v>
      </c>
      <c r="G14" s="46" t="s">
        <v>841</v>
      </c>
      <c r="H14" s="1" t="s">
        <v>880</v>
      </c>
    </row>
    <row r="15" spans="2:8" ht="19.5" customHeight="1" x14ac:dyDescent="0.55000000000000004">
      <c r="B15" s="54">
        <v>2883</v>
      </c>
      <c r="C15" s="58">
        <v>1571500135236</v>
      </c>
      <c r="D15" s="55" t="s">
        <v>121</v>
      </c>
      <c r="E15" s="70" t="s">
        <v>394</v>
      </c>
      <c r="F15" s="56" t="s">
        <v>662</v>
      </c>
      <c r="G15" s="60" t="s">
        <v>914</v>
      </c>
    </row>
    <row r="16" spans="2:8" ht="19.5" customHeight="1" x14ac:dyDescent="0.2">
      <c r="B16" s="85">
        <v>2913</v>
      </c>
      <c r="C16" s="91">
        <v>579900032514</v>
      </c>
      <c r="D16" s="101" t="s">
        <v>101</v>
      </c>
      <c r="E16" s="101" t="s">
        <v>581</v>
      </c>
      <c r="F16" s="101" t="s">
        <v>582</v>
      </c>
      <c r="G16" s="124" t="s">
        <v>1051</v>
      </c>
    </row>
    <row r="17" spans="2:12" ht="19.5" customHeight="1" x14ac:dyDescent="0.2">
      <c r="B17" s="85">
        <v>3162</v>
      </c>
      <c r="C17" s="86">
        <v>1579902007493</v>
      </c>
      <c r="D17" s="101" t="s">
        <v>121</v>
      </c>
      <c r="E17" s="101" t="s">
        <v>315</v>
      </c>
      <c r="F17" s="101" t="s">
        <v>316</v>
      </c>
      <c r="G17" s="84" t="s">
        <v>1055</v>
      </c>
    </row>
    <row r="18" spans="2:12" ht="19.5" customHeight="1" x14ac:dyDescent="0.2">
      <c r="B18" s="85">
        <v>3160</v>
      </c>
      <c r="C18" s="93">
        <v>571500006241</v>
      </c>
      <c r="D18" s="107" t="s">
        <v>121</v>
      </c>
      <c r="E18" s="95" t="s">
        <v>276</v>
      </c>
      <c r="F18" s="95" t="s">
        <v>277</v>
      </c>
      <c r="G18" s="102">
        <v>11</v>
      </c>
      <c r="H18" s="84" t="s">
        <v>1074</v>
      </c>
      <c r="I18" s="90"/>
      <c r="J18" s="90"/>
      <c r="K18" s="90"/>
      <c r="L18" s="90" t="s">
        <v>1054</v>
      </c>
    </row>
    <row r="19" spans="2:12" ht="19.5" customHeight="1" x14ac:dyDescent="0.2">
      <c r="B19" s="82">
        <v>2735</v>
      </c>
      <c r="C19" s="92">
        <v>1579901605974</v>
      </c>
      <c r="D19" s="123" t="s">
        <v>121</v>
      </c>
      <c r="E19" s="122" t="s">
        <v>773</v>
      </c>
      <c r="F19" s="122" t="s">
        <v>283</v>
      </c>
    </row>
    <row r="20" spans="2:12" ht="19.5" customHeight="1" x14ac:dyDescent="0.2">
      <c r="B20" s="85">
        <v>2705</v>
      </c>
      <c r="C20" s="86">
        <v>1571500125613</v>
      </c>
      <c r="D20" s="121" t="s">
        <v>101</v>
      </c>
      <c r="E20" s="121" t="s">
        <v>755</v>
      </c>
      <c r="F20" s="121" t="s">
        <v>175</v>
      </c>
    </row>
    <row r="21" spans="2:12" ht="19.5" customHeight="1" x14ac:dyDescent="0.2">
      <c r="B21" s="85">
        <v>3022</v>
      </c>
      <c r="C21" s="86">
        <v>1579901600948</v>
      </c>
      <c r="D21" s="101" t="s">
        <v>101</v>
      </c>
      <c r="E21" s="121" t="s">
        <v>753</v>
      </c>
      <c r="F21" s="121" t="s">
        <v>424</v>
      </c>
    </row>
    <row r="22" spans="2:12" ht="19.5" customHeight="1" x14ac:dyDescent="0.2">
      <c r="B22" s="85">
        <v>2950</v>
      </c>
      <c r="C22" s="86">
        <v>1104301490261</v>
      </c>
      <c r="D22" s="101" t="s">
        <v>101</v>
      </c>
      <c r="E22" s="121" t="s">
        <v>721</v>
      </c>
      <c r="F22" s="121" t="s">
        <v>722</v>
      </c>
    </row>
    <row r="23" spans="2:12" ht="19.5" customHeight="1" x14ac:dyDescent="0.2">
      <c r="B23" s="85">
        <v>2709</v>
      </c>
      <c r="C23" s="91">
        <v>1571500125788</v>
      </c>
      <c r="D23" s="101" t="s">
        <v>101</v>
      </c>
      <c r="E23" s="101" t="s">
        <v>759</v>
      </c>
      <c r="F23" s="101" t="s">
        <v>429</v>
      </c>
    </row>
    <row r="24" spans="2:12" ht="19.5" customHeight="1" x14ac:dyDescent="0.2">
      <c r="B24" s="85">
        <v>2728</v>
      </c>
      <c r="C24" s="86">
        <v>571500031351</v>
      </c>
      <c r="D24" s="101" t="s">
        <v>121</v>
      </c>
      <c r="E24" s="101" t="s">
        <v>767</v>
      </c>
      <c r="F24" s="101" t="s">
        <v>103</v>
      </c>
    </row>
    <row r="25" spans="2:12" ht="19.5" customHeight="1" x14ac:dyDescent="0.2">
      <c r="B25" s="85">
        <v>2693</v>
      </c>
      <c r="C25" s="86">
        <v>1909803868861</v>
      </c>
      <c r="D25" s="121" t="s">
        <v>101</v>
      </c>
      <c r="E25" s="121" t="s">
        <v>750</v>
      </c>
      <c r="F25" s="121" t="s">
        <v>751</v>
      </c>
    </row>
    <row r="26" spans="2:12" ht="19.5" customHeight="1" x14ac:dyDescent="0.2">
      <c r="B26" s="85">
        <v>2705</v>
      </c>
      <c r="C26" s="86">
        <v>1571500125613</v>
      </c>
      <c r="D26" s="121" t="s">
        <v>101</v>
      </c>
      <c r="E26" s="121" t="s">
        <v>755</v>
      </c>
      <c r="F26" s="121" t="s">
        <v>175</v>
      </c>
    </row>
    <row r="27" spans="2:12" ht="19.5" customHeight="1" x14ac:dyDescent="0.2">
      <c r="B27" s="82">
        <v>2735</v>
      </c>
      <c r="C27" s="92">
        <v>1579901605974</v>
      </c>
      <c r="D27" s="123" t="s">
        <v>121</v>
      </c>
      <c r="E27" s="122" t="s">
        <v>773</v>
      </c>
      <c r="F27" s="122" t="s">
        <v>283</v>
      </c>
    </row>
    <row r="28" spans="2:12" ht="19.5" customHeight="1" x14ac:dyDescent="0.2">
      <c r="B28" s="85">
        <v>3235</v>
      </c>
      <c r="C28" s="86" t="s">
        <v>180</v>
      </c>
      <c r="D28" s="101" t="s">
        <v>121</v>
      </c>
      <c r="E28" s="101" t="s">
        <v>181</v>
      </c>
      <c r="F28" s="101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I109"/>
  <sheetViews>
    <sheetView workbookViewId="0">
      <selection activeCell="J29" sqref="J29"/>
    </sheetView>
  </sheetViews>
  <sheetFormatPr defaultColWidth="12.5703125" defaultRowHeight="15.75" customHeight="1" x14ac:dyDescent="0.2"/>
  <cols>
    <col min="2" max="2" width="10.42578125" customWidth="1"/>
    <col min="3" max="3" width="14" customWidth="1"/>
  </cols>
  <sheetData>
    <row r="1" spans="1:9" ht="12.75" x14ac:dyDescent="0.2">
      <c r="A1" s="1" t="s">
        <v>43</v>
      </c>
      <c r="B1" s="1" t="s">
        <v>44</v>
      </c>
      <c r="C1" s="1" t="s">
        <v>45</v>
      </c>
      <c r="D1" s="1" t="s">
        <v>46</v>
      </c>
      <c r="E1" s="1" t="s">
        <v>881</v>
      </c>
      <c r="F1" s="1" t="s">
        <v>882</v>
      </c>
      <c r="G1" s="1" t="s">
        <v>883</v>
      </c>
      <c r="H1" s="1"/>
    </row>
    <row r="2" spans="1:9" ht="24" x14ac:dyDescent="0.55000000000000004">
      <c r="A2" s="24">
        <v>29</v>
      </c>
      <c r="B2" s="17">
        <v>2518</v>
      </c>
      <c r="C2" s="17">
        <v>1571500114140</v>
      </c>
      <c r="D2" s="18" t="s">
        <v>121</v>
      </c>
      <c r="E2" s="18" t="s">
        <v>854</v>
      </c>
      <c r="F2" s="19" t="s">
        <v>455</v>
      </c>
      <c r="G2" s="1" t="s">
        <v>841</v>
      </c>
      <c r="H2" s="1"/>
      <c r="I2" s="1"/>
    </row>
    <row r="3" spans="1:9" ht="24" hidden="1" x14ac:dyDescent="0.55000000000000004">
      <c r="A3" s="24">
        <v>1</v>
      </c>
      <c r="B3" s="17">
        <v>2757</v>
      </c>
      <c r="C3" s="17">
        <v>959800000021</v>
      </c>
      <c r="D3" s="20" t="s">
        <v>101</v>
      </c>
      <c r="E3" s="20" t="s">
        <v>818</v>
      </c>
      <c r="F3" s="21" t="s">
        <v>819</v>
      </c>
      <c r="G3" s="1" t="s">
        <v>820</v>
      </c>
      <c r="H3" s="1"/>
      <c r="I3" s="1"/>
    </row>
    <row r="4" spans="1:9" ht="24" hidden="1" x14ac:dyDescent="0.55000000000000004">
      <c r="A4" s="24">
        <v>19</v>
      </c>
      <c r="B4" s="17">
        <v>2534</v>
      </c>
      <c r="C4" s="17">
        <v>571500032005</v>
      </c>
      <c r="D4" s="20" t="s">
        <v>101</v>
      </c>
      <c r="E4" s="20" t="s">
        <v>636</v>
      </c>
      <c r="F4" s="21" t="s">
        <v>103</v>
      </c>
      <c r="G4" s="1" t="s">
        <v>841</v>
      </c>
      <c r="H4" s="1"/>
      <c r="I4" s="1"/>
    </row>
    <row r="5" spans="1:9" ht="24" hidden="1" x14ac:dyDescent="0.55000000000000004">
      <c r="A5" s="24">
        <v>20</v>
      </c>
      <c r="B5" s="17">
        <v>2537</v>
      </c>
      <c r="C5" s="17">
        <v>571500032084</v>
      </c>
      <c r="D5" s="20" t="s">
        <v>101</v>
      </c>
      <c r="E5" s="20" t="s">
        <v>408</v>
      </c>
      <c r="F5" s="21" t="s">
        <v>103</v>
      </c>
      <c r="G5" s="1" t="s">
        <v>841</v>
      </c>
      <c r="H5" s="1"/>
      <c r="I5" s="1"/>
    </row>
    <row r="6" spans="1:9" ht="24" hidden="1" x14ac:dyDescent="0.55000000000000004">
      <c r="A6" s="24">
        <v>21</v>
      </c>
      <c r="B6" s="17">
        <v>2513</v>
      </c>
      <c r="C6" s="17">
        <v>57991044157</v>
      </c>
      <c r="D6" s="20" t="s">
        <v>101</v>
      </c>
      <c r="E6" s="20" t="s">
        <v>842</v>
      </c>
      <c r="F6" s="21" t="s">
        <v>843</v>
      </c>
      <c r="G6" s="1" t="s">
        <v>841</v>
      </c>
      <c r="H6" s="1"/>
      <c r="I6" s="1"/>
    </row>
    <row r="7" spans="1:9" ht="24" hidden="1" x14ac:dyDescent="0.55000000000000004">
      <c r="A7" s="24">
        <v>2</v>
      </c>
      <c r="B7" s="17">
        <v>2508</v>
      </c>
      <c r="C7" s="17">
        <v>7571500115714</v>
      </c>
      <c r="D7" s="20" t="s">
        <v>101</v>
      </c>
      <c r="E7" s="20" t="s">
        <v>821</v>
      </c>
      <c r="F7" s="21" t="s">
        <v>734</v>
      </c>
      <c r="G7" s="1" t="s">
        <v>820</v>
      </c>
      <c r="H7" s="1"/>
      <c r="I7" s="1"/>
    </row>
    <row r="8" spans="1:9" ht="24" hidden="1" x14ac:dyDescent="0.55000000000000004">
      <c r="A8" s="24">
        <v>22</v>
      </c>
      <c r="B8" s="17">
        <v>2507</v>
      </c>
      <c r="C8" s="17">
        <v>7571500116265</v>
      </c>
      <c r="D8" s="20" t="s">
        <v>101</v>
      </c>
      <c r="E8" s="20" t="s">
        <v>844</v>
      </c>
      <c r="F8" s="21" t="s">
        <v>845</v>
      </c>
      <c r="G8" s="1" t="s">
        <v>841</v>
      </c>
      <c r="H8" s="1"/>
      <c r="I8" s="1"/>
    </row>
    <row r="9" spans="1:9" ht="24" x14ac:dyDescent="0.55000000000000004">
      <c r="A9" s="24">
        <v>30</v>
      </c>
      <c r="B9" s="17">
        <v>2527</v>
      </c>
      <c r="C9" s="17">
        <v>1571500114298</v>
      </c>
      <c r="D9" s="20" t="s">
        <v>121</v>
      </c>
      <c r="E9" s="20" t="s">
        <v>855</v>
      </c>
      <c r="F9" s="21" t="s">
        <v>153</v>
      </c>
      <c r="G9" s="1" t="s">
        <v>841</v>
      </c>
      <c r="H9" s="1"/>
      <c r="I9" s="1"/>
    </row>
    <row r="10" spans="1:9" ht="24" x14ac:dyDescent="0.55000000000000004">
      <c r="A10" s="24">
        <v>10</v>
      </c>
      <c r="B10" s="17">
        <v>2816</v>
      </c>
      <c r="C10" s="17">
        <v>571500038178</v>
      </c>
      <c r="D10" s="20" t="s">
        <v>121</v>
      </c>
      <c r="E10" s="20" t="s">
        <v>831</v>
      </c>
      <c r="F10" s="21" t="s">
        <v>153</v>
      </c>
      <c r="G10" s="1" t="s">
        <v>820</v>
      </c>
      <c r="H10" s="1"/>
      <c r="I10" s="1"/>
    </row>
    <row r="11" spans="1:9" ht="24" x14ac:dyDescent="0.55000000000000004">
      <c r="A11" s="24">
        <v>31</v>
      </c>
      <c r="B11" s="17">
        <v>2516</v>
      </c>
      <c r="C11" s="17">
        <v>1571500114433</v>
      </c>
      <c r="D11" s="20" t="s">
        <v>121</v>
      </c>
      <c r="E11" s="20" t="s">
        <v>856</v>
      </c>
      <c r="F11" s="21" t="s">
        <v>109</v>
      </c>
      <c r="G11" s="1" t="s">
        <v>841</v>
      </c>
      <c r="H11" s="1"/>
      <c r="I11" s="1"/>
    </row>
    <row r="12" spans="1:9" ht="24" x14ac:dyDescent="0.55000000000000004">
      <c r="A12" s="24">
        <v>11</v>
      </c>
      <c r="B12" s="17">
        <v>2522</v>
      </c>
      <c r="C12" s="17">
        <v>1571500117297</v>
      </c>
      <c r="D12" s="20" t="s">
        <v>121</v>
      </c>
      <c r="E12" s="20" t="s">
        <v>832</v>
      </c>
      <c r="F12" s="21" t="s">
        <v>538</v>
      </c>
      <c r="G12" s="1" t="s">
        <v>820</v>
      </c>
      <c r="H12" s="1"/>
      <c r="I12" s="1"/>
    </row>
    <row r="13" spans="1:9" ht="24" hidden="1" x14ac:dyDescent="0.55000000000000004">
      <c r="A13" s="24">
        <v>3</v>
      </c>
      <c r="B13" s="17">
        <v>2510</v>
      </c>
      <c r="C13" s="17">
        <v>7571500115986</v>
      </c>
      <c r="D13" s="20" t="s">
        <v>101</v>
      </c>
      <c r="E13" s="20" t="s">
        <v>822</v>
      </c>
      <c r="F13" s="21" t="s">
        <v>103</v>
      </c>
      <c r="G13" s="1" t="s">
        <v>820</v>
      </c>
      <c r="H13" s="1"/>
      <c r="I13" s="1"/>
    </row>
    <row r="14" spans="1:9" ht="24" x14ac:dyDescent="0.55000000000000004">
      <c r="A14" s="24">
        <v>12</v>
      </c>
      <c r="B14" s="17">
        <v>2524</v>
      </c>
      <c r="C14" s="17">
        <v>1571500116355</v>
      </c>
      <c r="D14" s="20" t="s">
        <v>121</v>
      </c>
      <c r="E14" s="20" t="s">
        <v>833</v>
      </c>
      <c r="F14" s="21" t="s">
        <v>622</v>
      </c>
      <c r="G14" s="1" t="s">
        <v>820</v>
      </c>
      <c r="H14" s="1"/>
      <c r="I14" s="1"/>
    </row>
    <row r="15" spans="1:9" ht="24" x14ac:dyDescent="0.55000000000000004">
      <c r="A15" s="24">
        <v>32</v>
      </c>
      <c r="B15" s="17">
        <v>2519</v>
      </c>
      <c r="C15" s="17">
        <v>1571500116797</v>
      </c>
      <c r="D15" s="20" t="s">
        <v>121</v>
      </c>
      <c r="E15" s="20" t="s">
        <v>857</v>
      </c>
      <c r="F15" s="21" t="s">
        <v>709</v>
      </c>
      <c r="G15" s="1" t="s">
        <v>841</v>
      </c>
      <c r="H15" s="1"/>
      <c r="I15" s="1"/>
    </row>
    <row r="16" spans="1:9" ht="24" x14ac:dyDescent="0.55000000000000004">
      <c r="A16" s="24">
        <v>33</v>
      </c>
      <c r="B16" s="17">
        <v>2560</v>
      </c>
      <c r="C16" s="17" t="s">
        <v>858</v>
      </c>
      <c r="D16" s="20" t="s">
        <v>121</v>
      </c>
      <c r="E16" s="20" t="s">
        <v>233</v>
      </c>
      <c r="F16" s="21" t="s">
        <v>103</v>
      </c>
      <c r="G16" s="1" t="s">
        <v>841</v>
      </c>
      <c r="H16" s="1"/>
      <c r="I16" s="1"/>
    </row>
    <row r="17" spans="1:9" ht="24" x14ac:dyDescent="0.55000000000000004">
      <c r="A17" s="24">
        <v>13</v>
      </c>
      <c r="B17" s="17">
        <v>2550</v>
      </c>
      <c r="C17" s="17">
        <v>571500031815</v>
      </c>
      <c r="D17" s="20" t="s">
        <v>121</v>
      </c>
      <c r="E17" s="20" t="s">
        <v>834</v>
      </c>
      <c r="F17" s="21" t="s">
        <v>103</v>
      </c>
      <c r="G17" s="1" t="s">
        <v>820</v>
      </c>
      <c r="H17" s="1"/>
      <c r="I17" s="1"/>
    </row>
    <row r="18" spans="1:9" ht="24" x14ac:dyDescent="0.55000000000000004">
      <c r="A18" s="24">
        <v>14</v>
      </c>
      <c r="B18" s="17">
        <v>2555</v>
      </c>
      <c r="C18" s="17" t="s">
        <v>835</v>
      </c>
      <c r="D18" s="20" t="s">
        <v>121</v>
      </c>
      <c r="E18" s="20" t="s">
        <v>836</v>
      </c>
      <c r="F18" s="21" t="s">
        <v>103</v>
      </c>
      <c r="G18" s="1" t="s">
        <v>820</v>
      </c>
      <c r="H18" s="1"/>
      <c r="I18" s="1"/>
    </row>
    <row r="19" spans="1:9" ht="24" x14ac:dyDescent="0.55000000000000004">
      <c r="A19" s="24">
        <v>15</v>
      </c>
      <c r="B19" s="17">
        <v>2526</v>
      </c>
      <c r="C19" s="17">
        <v>1571500116002</v>
      </c>
      <c r="D19" s="20" t="s">
        <v>121</v>
      </c>
      <c r="E19" s="20" t="s">
        <v>837</v>
      </c>
      <c r="F19" s="21" t="s">
        <v>103</v>
      </c>
      <c r="G19" s="1" t="s">
        <v>820</v>
      </c>
      <c r="H19" s="1"/>
      <c r="I19" s="1"/>
    </row>
    <row r="20" spans="1:9" ht="24" hidden="1" x14ac:dyDescent="0.55000000000000004">
      <c r="A20" s="24">
        <v>4</v>
      </c>
      <c r="B20" s="17">
        <v>2498</v>
      </c>
      <c r="C20" s="17">
        <v>1579901487238</v>
      </c>
      <c r="D20" s="20" t="s">
        <v>101</v>
      </c>
      <c r="E20" s="20" t="s">
        <v>823</v>
      </c>
      <c r="F20" s="21" t="s">
        <v>290</v>
      </c>
      <c r="G20" s="1" t="s">
        <v>820</v>
      </c>
      <c r="H20" s="1"/>
      <c r="I20" s="1"/>
    </row>
    <row r="21" spans="1:9" ht="24" hidden="1" x14ac:dyDescent="0.55000000000000004">
      <c r="A21" s="24">
        <v>5</v>
      </c>
      <c r="B21" s="17">
        <v>2664</v>
      </c>
      <c r="C21" s="17">
        <v>1508600027041</v>
      </c>
      <c r="D21" s="20" t="s">
        <v>101</v>
      </c>
      <c r="E21" s="20" t="s">
        <v>824</v>
      </c>
      <c r="F21" s="21" t="s">
        <v>635</v>
      </c>
      <c r="G21" s="1" t="s">
        <v>820</v>
      </c>
      <c r="H21" s="1"/>
      <c r="I21" s="1"/>
    </row>
    <row r="22" spans="1:9" ht="24" hidden="1" x14ac:dyDescent="0.55000000000000004">
      <c r="A22" s="24">
        <v>36</v>
      </c>
      <c r="B22" s="17">
        <v>2536</v>
      </c>
      <c r="C22" s="17">
        <v>571500031505</v>
      </c>
      <c r="D22" s="20" t="s">
        <v>825</v>
      </c>
      <c r="E22" s="20" t="s">
        <v>861</v>
      </c>
      <c r="F22" s="21" t="s">
        <v>103</v>
      </c>
      <c r="G22" s="1" t="s">
        <v>841</v>
      </c>
      <c r="H22" s="1"/>
      <c r="I22" s="1"/>
    </row>
    <row r="23" spans="1:9" ht="24" hidden="1" x14ac:dyDescent="0.55000000000000004">
      <c r="A23" s="24">
        <v>6</v>
      </c>
      <c r="B23" s="17">
        <v>3171</v>
      </c>
      <c r="C23" s="17">
        <v>1571500104403</v>
      </c>
      <c r="D23" s="20" t="s">
        <v>825</v>
      </c>
      <c r="E23" s="20" t="s">
        <v>826</v>
      </c>
      <c r="F23" s="21" t="s">
        <v>579</v>
      </c>
      <c r="G23" s="1" t="s">
        <v>820</v>
      </c>
      <c r="H23" s="1"/>
      <c r="I23" s="1"/>
    </row>
    <row r="24" spans="1:9" ht="24" x14ac:dyDescent="0.55000000000000004">
      <c r="A24" s="24">
        <v>16</v>
      </c>
      <c r="B24" s="17">
        <v>2556</v>
      </c>
      <c r="C24" s="17">
        <v>571500031971</v>
      </c>
      <c r="D24" s="20" t="s">
        <v>121</v>
      </c>
      <c r="E24" s="20" t="s">
        <v>314</v>
      </c>
      <c r="F24" s="21" t="s">
        <v>103</v>
      </c>
      <c r="G24" s="1" t="s">
        <v>820</v>
      </c>
      <c r="H24" s="1"/>
      <c r="I24" s="1"/>
    </row>
    <row r="25" spans="1:9" ht="24" hidden="1" x14ac:dyDescent="0.55000000000000004">
      <c r="A25" s="50">
        <v>23</v>
      </c>
      <c r="B25" s="25">
        <v>2495</v>
      </c>
      <c r="C25" s="25">
        <v>1571500115995</v>
      </c>
      <c r="D25" s="26" t="s">
        <v>101</v>
      </c>
      <c r="E25" s="26" t="s">
        <v>846</v>
      </c>
      <c r="F25" s="27" t="s">
        <v>847</v>
      </c>
      <c r="G25" s="1" t="s">
        <v>841</v>
      </c>
      <c r="H25" s="1"/>
      <c r="I25" s="1"/>
    </row>
    <row r="26" spans="1:9" ht="24" hidden="1" x14ac:dyDescent="0.55000000000000004">
      <c r="A26" s="24">
        <v>24</v>
      </c>
      <c r="B26" s="17">
        <v>2512</v>
      </c>
      <c r="C26" s="17">
        <v>7579900078562</v>
      </c>
      <c r="D26" s="18" t="s">
        <v>101</v>
      </c>
      <c r="E26" s="18" t="s">
        <v>848</v>
      </c>
      <c r="F26" s="19" t="s">
        <v>849</v>
      </c>
      <c r="G26" s="1" t="s">
        <v>841</v>
      </c>
      <c r="H26" s="1"/>
      <c r="I26" s="1"/>
    </row>
    <row r="27" spans="1:9" ht="24" hidden="1" x14ac:dyDescent="0.55000000000000004">
      <c r="A27" s="24">
        <v>25</v>
      </c>
      <c r="B27" s="17">
        <v>2617</v>
      </c>
      <c r="C27" s="17">
        <v>571500031521</v>
      </c>
      <c r="D27" s="20" t="s">
        <v>101</v>
      </c>
      <c r="E27" s="20" t="s">
        <v>850</v>
      </c>
      <c r="F27" s="21" t="s">
        <v>103</v>
      </c>
      <c r="G27" s="1" t="s">
        <v>841</v>
      </c>
      <c r="H27" s="1"/>
      <c r="I27" s="1"/>
    </row>
    <row r="28" spans="1:9" ht="24" hidden="1" x14ac:dyDescent="0.55000000000000004">
      <c r="A28" s="24">
        <v>7</v>
      </c>
      <c r="B28" s="17">
        <v>2430</v>
      </c>
      <c r="C28" s="17" t="s">
        <v>827</v>
      </c>
      <c r="D28" s="20" t="s">
        <v>101</v>
      </c>
      <c r="E28" s="20" t="s">
        <v>828</v>
      </c>
      <c r="F28" s="21" t="s">
        <v>103</v>
      </c>
      <c r="G28" s="1" t="s">
        <v>820</v>
      </c>
      <c r="H28" s="1"/>
      <c r="I28" s="1"/>
    </row>
    <row r="29" spans="1:9" ht="24" x14ac:dyDescent="0.55000000000000004">
      <c r="A29" s="24">
        <v>17</v>
      </c>
      <c r="B29" s="17">
        <v>2523</v>
      </c>
      <c r="C29" s="17">
        <v>1571500116835</v>
      </c>
      <c r="D29" s="20" t="s">
        <v>121</v>
      </c>
      <c r="E29" s="20" t="s">
        <v>838</v>
      </c>
      <c r="F29" s="21" t="s">
        <v>103</v>
      </c>
      <c r="G29" s="1" t="s">
        <v>820</v>
      </c>
      <c r="H29" s="1"/>
      <c r="I29" s="1"/>
    </row>
    <row r="30" spans="1:9" ht="24" x14ac:dyDescent="0.55000000000000004">
      <c r="A30" s="24">
        <v>34</v>
      </c>
      <c r="B30" s="17">
        <v>2517</v>
      </c>
      <c r="C30" s="17">
        <v>1571500116096</v>
      </c>
      <c r="D30" s="20" t="s">
        <v>121</v>
      </c>
      <c r="E30" s="20" t="s">
        <v>859</v>
      </c>
      <c r="F30" s="21" t="s">
        <v>613</v>
      </c>
      <c r="G30" s="1" t="s">
        <v>841</v>
      </c>
      <c r="H30" s="1"/>
      <c r="I30" s="1"/>
    </row>
    <row r="31" spans="1:9" ht="24" hidden="1" x14ac:dyDescent="0.55000000000000004">
      <c r="A31" s="49">
        <v>9</v>
      </c>
      <c r="B31" s="31">
        <v>2505</v>
      </c>
      <c r="C31" s="31">
        <v>1579901471731</v>
      </c>
      <c r="D31" s="32" t="s">
        <v>101</v>
      </c>
      <c r="E31" s="32" t="s">
        <v>830</v>
      </c>
      <c r="F31" s="33" t="s">
        <v>193</v>
      </c>
      <c r="G31" s="1" t="s">
        <v>820</v>
      </c>
      <c r="H31" s="1"/>
      <c r="I31" s="1"/>
    </row>
    <row r="32" spans="1:9" ht="24" x14ac:dyDescent="0.55000000000000004">
      <c r="A32" s="24">
        <v>35</v>
      </c>
      <c r="B32" s="17">
        <v>2531</v>
      </c>
      <c r="C32" s="17">
        <v>7571500116061</v>
      </c>
      <c r="D32" s="20" t="s">
        <v>121</v>
      </c>
      <c r="E32" s="20" t="s">
        <v>860</v>
      </c>
      <c r="F32" s="21" t="s">
        <v>103</v>
      </c>
      <c r="G32" s="1" t="s">
        <v>841</v>
      </c>
      <c r="H32" s="1"/>
      <c r="I32" s="1"/>
    </row>
    <row r="33" spans="1:9" ht="24" hidden="1" x14ac:dyDescent="0.55000000000000004">
      <c r="A33" s="24">
        <v>26</v>
      </c>
      <c r="B33" s="17">
        <v>2514</v>
      </c>
      <c r="C33" s="17">
        <v>7571500116184</v>
      </c>
      <c r="D33" s="20" t="s">
        <v>101</v>
      </c>
      <c r="E33" s="20" t="s">
        <v>851</v>
      </c>
      <c r="F33" s="21" t="s">
        <v>852</v>
      </c>
      <c r="G33" s="1" t="s">
        <v>841</v>
      </c>
      <c r="H33" s="1"/>
      <c r="I33" s="1"/>
    </row>
    <row r="34" spans="1:9" ht="24" hidden="1" x14ac:dyDescent="0.55000000000000004">
      <c r="A34" s="49">
        <v>27</v>
      </c>
      <c r="B34" s="31">
        <v>2496</v>
      </c>
      <c r="C34" s="31">
        <v>1579901446353</v>
      </c>
      <c r="D34" s="32" t="s">
        <v>101</v>
      </c>
      <c r="E34" s="32" t="s">
        <v>853</v>
      </c>
      <c r="F34" s="33" t="s">
        <v>575</v>
      </c>
      <c r="G34" s="1" t="s">
        <v>841</v>
      </c>
      <c r="H34" s="1"/>
      <c r="I34" s="1"/>
    </row>
    <row r="35" spans="1:9" ht="24" hidden="1" x14ac:dyDescent="0.55000000000000004">
      <c r="A35" s="24">
        <v>38</v>
      </c>
      <c r="B35" s="17">
        <v>2666</v>
      </c>
      <c r="C35" s="17">
        <v>1571500110306</v>
      </c>
      <c r="D35" s="20" t="s">
        <v>101</v>
      </c>
      <c r="E35" s="20" t="s">
        <v>864</v>
      </c>
      <c r="F35" s="21" t="s">
        <v>865</v>
      </c>
      <c r="G35" s="1" t="s">
        <v>820</v>
      </c>
      <c r="H35" s="1"/>
      <c r="I35" s="1"/>
    </row>
    <row r="36" spans="1:9" ht="24" hidden="1" x14ac:dyDescent="0.55000000000000004">
      <c r="A36" s="24">
        <v>28</v>
      </c>
      <c r="B36" s="17">
        <v>2506</v>
      </c>
      <c r="C36" s="17">
        <v>1571500116142</v>
      </c>
      <c r="D36" s="20" t="s">
        <v>101</v>
      </c>
      <c r="E36" s="20" t="s">
        <v>502</v>
      </c>
      <c r="F36" s="21" t="s">
        <v>359</v>
      </c>
      <c r="G36" s="1" t="s">
        <v>841</v>
      </c>
      <c r="H36" s="1"/>
      <c r="I36" s="1"/>
    </row>
    <row r="37" spans="1:9" ht="24" hidden="1" x14ac:dyDescent="0.55000000000000004">
      <c r="A37" s="24">
        <v>8</v>
      </c>
      <c r="B37" s="17">
        <v>2540</v>
      </c>
      <c r="C37" s="17">
        <v>571500032170</v>
      </c>
      <c r="D37" s="20" t="s">
        <v>101</v>
      </c>
      <c r="E37" s="20" t="s">
        <v>829</v>
      </c>
      <c r="F37" s="21" t="s">
        <v>103</v>
      </c>
      <c r="G37" s="1" t="s">
        <v>820</v>
      </c>
      <c r="H37" s="1"/>
      <c r="I37" s="1"/>
    </row>
    <row r="38" spans="1:9" ht="24" x14ac:dyDescent="0.55000000000000004">
      <c r="A38" s="50">
        <v>18</v>
      </c>
      <c r="B38" s="25">
        <v>2559</v>
      </c>
      <c r="C38" s="25">
        <v>571500031718</v>
      </c>
      <c r="D38" s="26" t="s">
        <v>121</v>
      </c>
      <c r="E38" s="26" t="s">
        <v>839</v>
      </c>
      <c r="F38" s="27" t="s">
        <v>840</v>
      </c>
      <c r="G38" s="1" t="s">
        <v>820</v>
      </c>
      <c r="H38" s="1"/>
      <c r="I38" s="1"/>
    </row>
    <row r="39" spans="1:9" ht="24" x14ac:dyDescent="0.55000000000000004">
      <c r="A39" s="24">
        <v>37</v>
      </c>
      <c r="B39" s="17">
        <v>2521</v>
      </c>
      <c r="C39" s="17" t="s">
        <v>862</v>
      </c>
      <c r="D39" s="20" t="s">
        <v>121</v>
      </c>
      <c r="E39" s="20" t="s">
        <v>863</v>
      </c>
      <c r="F39" s="21" t="s">
        <v>103</v>
      </c>
      <c r="G39" s="1" t="s">
        <v>841</v>
      </c>
      <c r="H39" s="1"/>
      <c r="I39" s="1"/>
    </row>
    <row r="40" spans="1:9" ht="24" hidden="1" x14ac:dyDescent="0.55000000000000004">
      <c r="A40" s="24"/>
      <c r="B40" s="17"/>
      <c r="C40" s="17"/>
      <c r="D40" s="20"/>
      <c r="E40" s="20"/>
      <c r="F40" s="21"/>
      <c r="G40" s="1"/>
      <c r="H40" s="1"/>
      <c r="I40" s="1"/>
    </row>
    <row r="41" spans="1:9" ht="24" hidden="1" x14ac:dyDescent="0.55000000000000004">
      <c r="A41" s="24"/>
      <c r="B41" s="17"/>
      <c r="C41" s="17"/>
      <c r="D41" s="20"/>
      <c r="E41" s="20"/>
      <c r="F41" s="21"/>
      <c r="G41" s="1"/>
      <c r="H41" s="1"/>
      <c r="I41" s="1"/>
    </row>
    <row r="42" spans="1:9" ht="24" hidden="1" x14ac:dyDescent="0.55000000000000004">
      <c r="A42" s="24"/>
      <c r="B42" s="17"/>
      <c r="C42" s="17"/>
      <c r="D42" s="20"/>
      <c r="E42" s="20"/>
      <c r="F42" s="21"/>
      <c r="G42" s="1"/>
      <c r="H42" s="1"/>
      <c r="I42" s="1"/>
    </row>
    <row r="43" spans="1:9" ht="24" hidden="1" x14ac:dyDescent="0.55000000000000004">
      <c r="A43" s="24"/>
      <c r="B43" s="17"/>
      <c r="C43" s="17"/>
      <c r="D43" s="20"/>
      <c r="E43" s="20"/>
      <c r="F43" s="21"/>
      <c r="G43" s="1"/>
      <c r="H43" s="1"/>
      <c r="I43" s="1"/>
    </row>
    <row r="44" spans="1:9" ht="24" hidden="1" x14ac:dyDescent="0.55000000000000004">
      <c r="A44" s="24"/>
      <c r="B44" s="17"/>
      <c r="C44" s="17"/>
      <c r="D44" s="20"/>
      <c r="E44" s="20"/>
      <c r="F44" s="21"/>
      <c r="G44" s="1"/>
      <c r="H44" s="1"/>
      <c r="I44" s="1"/>
    </row>
    <row r="45" spans="1:9" ht="24" hidden="1" x14ac:dyDescent="0.55000000000000004">
      <c r="A45" s="24"/>
      <c r="B45" s="17"/>
      <c r="C45" s="17"/>
      <c r="D45" s="20"/>
      <c r="E45" s="20"/>
      <c r="F45" s="21"/>
      <c r="G45" s="1"/>
      <c r="H45" s="1"/>
      <c r="I45" s="1"/>
    </row>
    <row r="46" spans="1:9" ht="24" hidden="1" x14ac:dyDescent="0.55000000000000004">
      <c r="A46" s="24"/>
      <c r="B46" s="17"/>
      <c r="C46" s="17"/>
      <c r="D46" s="20"/>
      <c r="E46" s="20"/>
      <c r="F46" s="21"/>
      <c r="G46" s="1"/>
      <c r="H46" s="1"/>
      <c r="I46" s="1"/>
    </row>
    <row r="47" spans="1:9" ht="24" hidden="1" x14ac:dyDescent="0.55000000000000004">
      <c r="A47" s="24"/>
      <c r="B47" s="17"/>
      <c r="C47" s="17"/>
      <c r="D47" s="20"/>
      <c r="E47" s="20"/>
      <c r="F47" s="21"/>
      <c r="G47" s="1"/>
      <c r="H47" s="1"/>
      <c r="I47" s="1"/>
    </row>
    <row r="48" spans="1:9" ht="24" hidden="1" x14ac:dyDescent="0.55000000000000004">
      <c r="A48" s="24"/>
      <c r="B48" s="17"/>
      <c r="C48" s="17"/>
      <c r="D48" s="20"/>
      <c r="E48" s="20"/>
      <c r="F48" s="21"/>
      <c r="G48" s="1"/>
      <c r="H48" s="1"/>
      <c r="I48" s="1"/>
    </row>
    <row r="49" spans="1:9" ht="24" hidden="1" x14ac:dyDescent="0.55000000000000004">
      <c r="A49" s="24"/>
      <c r="B49" s="17"/>
      <c r="C49" s="17"/>
      <c r="D49" s="20"/>
      <c r="E49" s="20"/>
      <c r="F49" s="21"/>
      <c r="G49" s="1"/>
      <c r="H49" s="1"/>
      <c r="I49" s="1"/>
    </row>
    <row r="50" spans="1:9" ht="24" hidden="1" x14ac:dyDescent="0.55000000000000004">
      <c r="A50" s="24"/>
      <c r="B50" s="17"/>
      <c r="C50" s="17"/>
      <c r="D50" s="20"/>
      <c r="E50" s="20"/>
      <c r="F50" s="21"/>
      <c r="G50" s="1"/>
      <c r="H50" s="1"/>
      <c r="I50" s="1"/>
    </row>
    <row r="51" spans="1:9" ht="24" hidden="1" x14ac:dyDescent="0.55000000000000004">
      <c r="A51" s="51"/>
      <c r="B51" s="34"/>
      <c r="C51" s="34"/>
      <c r="D51" s="38"/>
      <c r="E51" s="38"/>
      <c r="F51" s="39"/>
      <c r="G51" s="1"/>
      <c r="H51" s="1"/>
      <c r="I51" s="1"/>
    </row>
    <row r="52" spans="1:9" ht="24" hidden="1" x14ac:dyDescent="0.55000000000000004">
      <c r="A52" s="51"/>
      <c r="B52" s="34"/>
      <c r="C52" s="34"/>
      <c r="D52" s="22"/>
      <c r="E52" s="22"/>
      <c r="F52" s="23"/>
      <c r="G52" s="1"/>
      <c r="H52" s="1"/>
      <c r="I52" s="1"/>
    </row>
    <row r="53" spans="1:9" ht="24" hidden="1" x14ac:dyDescent="0.55000000000000004">
      <c r="A53" s="51"/>
      <c r="B53" s="34"/>
      <c r="C53" s="34"/>
      <c r="D53" s="22"/>
      <c r="E53" s="22"/>
      <c r="F53" s="23"/>
      <c r="G53" s="1"/>
      <c r="H53" s="1"/>
      <c r="I53" s="1"/>
    </row>
    <row r="54" spans="1:9" ht="24" hidden="1" x14ac:dyDescent="0.55000000000000004">
      <c r="A54" s="51"/>
      <c r="B54" s="34"/>
      <c r="C54" s="34"/>
      <c r="D54" s="22"/>
      <c r="E54" s="22"/>
      <c r="F54" s="23"/>
      <c r="G54" s="1"/>
      <c r="H54" s="1"/>
      <c r="I54" s="1"/>
    </row>
    <row r="55" spans="1:9" ht="24" hidden="1" x14ac:dyDescent="0.55000000000000004">
      <c r="A55" s="51"/>
      <c r="B55" s="34"/>
      <c r="C55" s="34"/>
      <c r="D55" s="22"/>
      <c r="E55" s="22"/>
      <c r="F55" s="23"/>
      <c r="G55" s="1"/>
      <c r="H55" s="1"/>
      <c r="I55" s="1"/>
    </row>
    <row r="56" spans="1:9" ht="24" hidden="1" x14ac:dyDescent="0.55000000000000004">
      <c r="A56" s="51"/>
      <c r="B56" s="34"/>
      <c r="C56" s="34"/>
      <c r="D56" s="22"/>
      <c r="E56" s="22"/>
      <c r="F56" s="23"/>
      <c r="G56" s="1"/>
      <c r="H56" s="1"/>
      <c r="I56" s="1"/>
    </row>
    <row r="57" spans="1:9" ht="24" hidden="1" x14ac:dyDescent="0.55000000000000004">
      <c r="A57" s="51"/>
      <c r="B57" s="34"/>
      <c r="C57" s="34"/>
      <c r="D57" s="22"/>
      <c r="E57" s="22"/>
      <c r="F57" s="23"/>
      <c r="G57" s="1"/>
      <c r="H57" s="1"/>
      <c r="I57" s="1"/>
    </row>
    <row r="58" spans="1:9" ht="24" hidden="1" x14ac:dyDescent="0.55000000000000004">
      <c r="A58" s="51"/>
      <c r="B58" s="34"/>
      <c r="C58" s="34"/>
      <c r="D58" s="22"/>
      <c r="E58" s="22"/>
      <c r="F58" s="23"/>
      <c r="G58" s="1"/>
      <c r="H58" s="1"/>
      <c r="I58" s="1"/>
    </row>
    <row r="59" spans="1:9" ht="24" hidden="1" x14ac:dyDescent="0.55000000000000004">
      <c r="A59" s="51"/>
      <c r="B59" s="34"/>
      <c r="C59" s="34"/>
      <c r="D59" s="22"/>
      <c r="E59" s="22"/>
      <c r="F59" s="23"/>
      <c r="G59" s="1"/>
      <c r="H59" s="1"/>
      <c r="I59" s="1"/>
    </row>
    <row r="60" spans="1:9" ht="24" hidden="1" x14ac:dyDescent="0.55000000000000004">
      <c r="A60" s="51"/>
      <c r="B60" s="34"/>
      <c r="C60" s="34"/>
      <c r="D60" s="22"/>
      <c r="E60" s="22"/>
      <c r="F60" s="23"/>
      <c r="G60" s="1"/>
      <c r="H60" s="1"/>
      <c r="I60" s="1"/>
    </row>
    <row r="61" spans="1:9" ht="24" hidden="1" x14ac:dyDescent="0.55000000000000004">
      <c r="A61" s="51"/>
      <c r="B61" s="34"/>
      <c r="C61" s="34"/>
      <c r="D61" s="22"/>
      <c r="E61" s="22"/>
      <c r="F61" s="23"/>
      <c r="G61" s="1"/>
      <c r="H61" s="1"/>
      <c r="I61" s="1"/>
    </row>
    <row r="62" spans="1:9" ht="24" hidden="1" x14ac:dyDescent="0.55000000000000004">
      <c r="A62" s="52"/>
      <c r="B62" s="28"/>
      <c r="C62" s="28"/>
      <c r="D62" s="29"/>
      <c r="E62" s="29"/>
      <c r="F62" s="30"/>
      <c r="G62" s="1"/>
      <c r="H62" s="1"/>
      <c r="I62" s="1"/>
    </row>
    <row r="63" spans="1:9" ht="24" hidden="1" x14ac:dyDescent="0.55000000000000004">
      <c r="A63" s="51"/>
      <c r="B63" s="34"/>
      <c r="C63" s="34"/>
      <c r="D63" s="22"/>
      <c r="E63" s="22"/>
      <c r="F63" s="23"/>
      <c r="G63" s="1"/>
      <c r="H63" s="1"/>
      <c r="I63" s="1"/>
    </row>
    <row r="64" spans="1:9" ht="24" hidden="1" x14ac:dyDescent="0.55000000000000004">
      <c r="A64" s="53"/>
      <c r="B64" s="35"/>
      <c r="C64" s="35"/>
      <c r="D64" s="36"/>
      <c r="E64" s="36"/>
      <c r="F64" s="37"/>
      <c r="G64" s="1"/>
      <c r="H64" s="1"/>
      <c r="I64" s="1"/>
    </row>
    <row r="65" spans="1:9" ht="24" hidden="1" x14ac:dyDescent="0.55000000000000004">
      <c r="A65" s="51"/>
      <c r="B65" s="34"/>
      <c r="C65" s="34"/>
      <c r="D65" s="22"/>
      <c r="E65" s="22"/>
      <c r="F65" s="23"/>
      <c r="G65" s="1"/>
      <c r="H65" s="1"/>
      <c r="I65" s="1"/>
    </row>
    <row r="66" spans="1:9" ht="24" hidden="1" x14ac:dyDescent="0.55000000000000004">
      <c r="A66" s="51"/>
      <c r="B66" s="34"/>
      <c r="C66" s="34"/>
      <c r="D66" s="22"/>
      <c r="E66" s="22"/>
      <c r="F66" s="23"/>
      <c r="G66" s="1"/>
      <c r="H66" s="1"/>
      <c r="I66" s="1"/>
    </row>
    <row r="67" spans="1:9" ht="24" hidden="1" x14ac:dyDescent="0.55000000000000004">
      <c r="A67" s="51"/>
      <c r="B67" s="34"/>
      <c r="C67" s="34"/>
      <c r="D67" s="22"/>
      <c r="E67" s="22"/>
      <c r="F67" s="23"/>
    </row>
    <row r="68" spans="1:9" ht="24" hidden="1" x14ac:dyDescent="0.55000000000000004">
      <c r="A68" s="51"/>
      <c r="B68" s="34"/>
      <c r="C68" s="34"/>
      <c r="D68" s="22"/>
      <c r="E68" s="22"/>
      <c r="F68" s="23"/>
    </row>
    <row r="69" spans="1:9" ht="24" hidden="1" x14ac:dyDescent="0.55000000000000004">
      <c r="A69" s="51"/>
      <c r="B69" s="34"/>
      <c r="C69" s="34"/>
      <c r="D69" s="22"/>
      <c r="E69" s="22"/>
      <c r="F69" s="23"/>
    </row>
    <row r="70" spans="1:9" ht="24" hidden="1" x14ac:dyDescent="0.55000000000000004">
      <c r="A70" s="51"/>
      <c r="B70" s="34"/>
      <c r="C70" s="34"/>
      <c r="D70" s="22"/>
      <c r="E70" s="22"/>
      <c r="F70" s="23"/>
    </row>
    <row r="71" spans="1:9" ht="24" hidden="1" x14ac:dyDescent="0.55000000000000004">
      <c r="A71" s="51"/>
      <c r="B71" s="34"/>
      <c r="C71" s="34"/>
      <c r="D71" s="22"/>
      <c r="E71" s="22"/>
      <c r="F71" s="23"/>
    </row>
    <row r="72" spans="1:9" ht="24" hidden="1" x14ac:dyDescent="0.55000000000000004">
      <c r="A72" s="51"/>
      <c r="B72" s="34"/>
      <c r="C72" s="34"/>
      <c r="D72" s="22"/>
      <c r="E72" s="22"/>
      <c r="F72" s="23"/>
    </row>
    <row r="73" spans="1:9" ht="24" hidden="1" x14ac:dyDescent="0.55000000000000004">
      <c r="A73" s="51"/>
      <c r="B73" s="34"/>
      <c r="C73" s="34"/>
      <c r="D73" s="22"/>
      <c r="E73" s="22"/>
      <c r="F73" s="23"/>
    </row>
    <row r="74" spans="1:9" ht="24" hidden="1" x14ac:dyDescent="0.55000000000000004">
      <c r="A74" s="51"/>
      <c r="B74" s="34"/>
      <c r="C74" s="34"/>
      <c r="D74" s="22"/>
      <c r="E74" s="22"/>
      <c r="F74" s="23"/>
    </row>
    <row r="75" spans="1:9" ht="24" hidden="1" x14ac:dyDescent="0.55000000000000004">
      <c r="A75" s="51"/>
      <c r="B75" s="34"/>
      <c r="C75" s="34"/>
      <c r="D75" s="22"/>
      <c r="E75" s="22"/>
      <c r="F75" s="23"/>
    </row>
    <row r="76" spans="1:9" ht="24" hidden="1" x14ac:dyDescent="0.55000000000000004">
      <c r="A76" s="51"/>
      <c r="B76" s="34"/>
      <c r="C76" s="34"/>
      <c r="D76" s="22"/>
      <c r="E76" s="22"/>
      <c r="F76" s="23"/>
    </row>
    <row r="77" spans="1:9" ht="24" hidden="1" x14ac:dyDescent="0.55000000000000004">
      <c r="A77" s="51"/>
      <c r="B77" s="34"/>
      <c r="C77" s="34"/>
      <c r="D77" s="22"/>
      <c r="E77" s="22"/>
      <c r="F77" s="23"/>
    </row>
    <row r="78" spans="1:9" ht="24" hidden="1" x14ac:dyDescent="0.55000000000000004">
      <c r="A78" s="51"/>
      <c r="B78" s="34"/>
      <c r="C78" s="34"/>
      <c r="D78" s="22"/>
      <c r="E78" s="22"/>
      <c r="F78" s="23"/>
    </row>
    <row r="79" spans="1:9" ht="24" hidden="1" x14ac:dyDescent="0.55000000000000004">
      <c r="A79" s="51"/>
      <c r="B79" s="34"/>
      <c r="C79" s="34"/>
      <c r="D79" s="38"/>
      <c r="E79" s="38"/>
      <c r="F79" s="39"/>
    </row>
    <row r="80" spans="1:9" ht="24" hidden="1" x14ac:dyDescent="0.55000000000000004">
      <c r="A80" s="51"/>
      <c r="B80" s="34"/>
      <c r="C80" s="34"/>
      <c r="D80" s="22"/>
      <c r="E80" s="22"/>
      <c r="F80" s="23"/>
    </row>
    <row r="81" spans="1:6" ht="24" hidden="1" x14ac:dyDescent="0.55000000000000004">
      <c r="A81" s="51"/>
      <c r="B81" s="34"/>
      <c r="C81" s="34"/>
      <c r="D81" s="22"/>
      <c r="E81" s="22"/>
      <c r="F81" s="23"/>
    </row>
    <row r="82" spans="1:6" ht="24" hidden="1" x14ac:dyDescent="0.55000000000000004">
      <c r="A82" s="51"/>
      <c r="B82" s="34"/>
      <c r="C82" s="34"/>
      <c r="D82" s="22"/>
      <c r="E82" s="22"/>
      <c r="F82" s="23"/>
    </row>
    <row r="83" spans="1:6" ht="24" hidden="1" x14ac:dyDescent="0.55000000000000004">
      <c r="A83" s="51"/>
      <c r="B83" s="34"/>
      <c r="C83" s="34"/>
      <c r="D83" s="22"/>
      <c r="E83" s="22"/>
      <c r="F83" s="23"/>
    </row>
    <row r="84" spans="1:6" ht="24" hidden="1" x14ac:dyDescent="0.55000000000000004">
      <c r="A84" s="51"/>
      <c r="B84" s="34"/>
      <c r="C84" s="34"/>
      <c r="D84" s="22"/>
      <c r="E84" s="22"/>
      <c r="F84" s="23"/>
    </row>
    <row r="85" spans="1:6" ht="24" hidden="1" x14ac:dyDescent="0.55000000000000004">
      <c r="A85" s="51"/>
      <c r="B85" s="34"/>
      <c r="C85" s="34"/>
      <c r="D85" s="22"/>
      <c r="E85" s="22"/>
      <c r="F85" s="23"/>
    </row>
    <row r="86" spans="1:6" ht="24" hidden="1" x14ac:dyDescent="0.55000000000000004">
      <c r="A86" s="51"/>
      <c r="B86" s="34"/>
      <c r="C86" s="34"/>
      <c r="D86" s="22"/>
      <c r="E86" s="22"/>
      <c r="F86" s="23"/>
    </row>
    <row r="87" spans="1:6" ht="24" hidden="1" x14ac:dyDescent="0.55000000000000004">
      <c r="A87" s="51"/>
      <c r="B87" s="34"/>
      <c r="C87" s="34"/>
      <c r="D87" s="22"/>
      <c r="E87" s="22"/>
      <c r="F87" s="23"/>
    </row>
    <row r="88" spans="1:6" ht="24" hidden="1" x14ac:dyDescent="0.55000000000000004">
      <c r="A88" s="53"/>
      <c r="B88" s="34"/>
      <c r="C88" s="34"/>
      <c r="D88" s="22"/>
      <c r="E88" s="22"/>
      <c r="F88" s="23"/>
    </row>
    <row r="89" spans="1:6" ht="24" hidden="1" x14ac:dyDescent="0.55000000000000004">
      <c r="A89" s="53"/>
      <c r="B89" s="34"/>
      <c r="C89" s="34"/>
      <c r="D89" s="22"/>
      <c r="E89" s="22"/>
      <c r="F89" s="23"/>
    </row>
    <row r="90" spans="1:6" ht="24" hidden="1" x14ac:dyDescent="0.55000000000000004">
      <c r="A90" s="53"/>
      <c r="B90" s="34"/>
      <c r="C90" s="34"/>
      <c r="D90" s="22"/>
      <c r="E90" s="22"/>
      <c r="F90" s="23"/>
    </row>
    <row r="91" spans="1:6" ht="24" hidden="1" x14ac:dyDescent="0.55000000000000004">
      <c r="A91" s="53"/>
      <c r="B91" s="34"/>
      <c r="C91" s="34"/>
      <c r="D91" s="22"/>
      <c r="E91" s="22"/>
      <c r="F91" s="23"/>
    </row>
    <row r="92" spans="1:6" ht="24" hidden="1" x14ac:dyDescent="0.55000000000000004">
      <c r="A92" s="53"/>
      <c r="B92" s="34"/>
      <c r="C92" s="34"/>
      <c r="D92" s="22"/>
      <c r="E92" s="22"/>
      <c r="F92" s="23"/>
    </row>
    <row r="93" spans="1:6" ht="24" hidden="1" x14ac:dyDescent="0.55000000000000004">
      <c r="A93" s="53"/>
      <c r="B93" s="34"/>
      <c r="C93" s="34"/>
      <c r="D93" s="22"/>
      <c r="E93" s="22"/>
      <c r="F93" s="23"/>
    </row>
    <row r="94" spans="1:6" ht="24" hidden="1" x14ac:dyDescent="0.55000000000000004">
      <c r="A94" s="53"/>
      <c r="B94" s="34"/>
      <c r="C94" s="34"/>
      <c r="D94" s="22"/>
      <c r="E94" s="22"/>
      <c r="F94" s="23"/>
    </row>
    <row r="95" spans="1:6" ht="24" hidden="1" x14ac:dyDescent="0.55000000000000004">
      <c r="A95" s="53"/>
      <c r="B95" s="34"/>
      <c r="C95" s="34"/>
      <c r="D95" s="22"/>
      <c r="E95" s="22"/>
      <c r="F95" s="23"/>
    </row>
    <row r="96" spans="1:6" ht="24" hidden="1" x14ac:dyDescent="0.55000000000000004">
      <c r="A96" s="53"/>
      <c r="B96" s="34"/>
      <c r="C96" s="34"/>
      <c r="D96" s="22"/>
      <c r="E96" s="22"/>
      <c r="F96" s="23"/>
    </row>
    <row r="97" spans="1:6" ht="24" hidden="1" x14ac:dyDescent="0.55000000000000004">
      <c r="A97" s="53"/>
      <c r="B97" s="34"/>
      <c r="C97" s="34"/>
      <c r="D97" s="22"/>
      <c r="E97" s="22"/>
      <c r="F97" s="23"/>
    </row>
    <row r="98" spans="1:6" ht="24" hidden="1" x14ac:dyDescent="0.55000000000000004">
      <c r="A98" s="53"/>
      <c r="B98" s="34"/>
      <c r="C98" s="34"/>
      <c r="D98" s="22"/>
      <c r="E98" s="22"/>
      <c r="F98" s="23"/>
    </row>
    <row r="99" spans="1:6" ht="24" hidden="1" x14ac:dyDescent="0.55000000000000004">
      <c r="A99" s="53"/>
      <c r="B99" s="34"/>
      <c r="C99" s="34"/>
      <c r="D99" s="22"/>
      <c r="E99" s="22"/>
      <c r="F99" s="23"/>
    </row>
    <row r="100" spans="1:6" ht="24" hidden="1" x14ac:dyDescent="0.55000000000000004">
      <c r="A100" s="53"/>
      <c r="B100" s="34"/>
      <c r="C100" s="34"/>
      <c r="D100" s="22"/>
      <c r="E100" s="22"/>
      <c r="F100" s="23"/>
    </row>
    <row r="101" spans="1:6" ht="24" hidden="1" x14ac:dyDescent="0.55000000000000004">
      <c r="A101" s="53"/>
      <c r="B101" s="34"/>
      <c r="C101" s="34"/>
      <c r="D101" s="22"/>
      <c r="E101" s="22"/>
      <c r="F101" s="23"/>
    </row>
    <row r="102" spans="1:6" ht="24" hidden="1" x14ac:dyDescent="0.55000000000000004">
      <c r="A102" s="53"/>
      <c r="B102" s="34"/>
      <c r="C102" s="34"/>
      <c r="D102" s="22"/>
      <c r="E102" s="22"/>
      <c r="F102" s="23"/>
    </row>
    <row r="103" spans="1:6" ht="24" hidden="1" x14ac:dyDescent="0.55000000000000004">
      <c r="A103" s="53"/>
      <c r="B103" s="34"/>
      <c r="C103" s="34"/>
      <c r="D103" s="22"/>
      <c r="E103" s="22"/>
      <c r="F103" s="23"/>
    </row>
    <row r="104" spans="1:6" ht="24" hidden="1" x14ac:dyDescent="0.55000000000000004">
      <c r="A104" s="53"/>
      <c r="B104" s="34"/>
      <c r="C104" s="34"/>
      <c r="D104" s="22"/>
      <c r="E104" s="22"/>
      <c r="F104" s="23"/>
    </row>
    <row r="105" spans="1:6" ht="24" hidden="1" x14ac:dyDescent="0.55000000000000004">
      <c r="A105" s="53"/>
      <c r="B105" s="34"/>
      <c r="C105" s="34"/>
      <c r="D105" s="22"/>
      <c r="E105" s="22"/>
      <c r="F105" s="23"/>
    </row>
    <row r="106" spans="1:6" ht="24" hidden="1" x14ac:dyDescent="0.55000000000000004">
      <c r="A106" s="53"/>
      <c r="B106" s="34"/>
      <c r="C106" s="34"/>
      <c r="D106" s="22"/>
      <c r="E106" s="22"/>
      <c r="F106" s="23"/>
    </row>
    <row r="107" spans="1:6" ht="24" hidden="1" x14ac:dyDescent="0.55000000000000004">
      <c r="A107" s="53"/>
      <c r="B107" s="34"/>
      <c r="C107" s="34"/>
      <c r="D107" s="22"/>
      <c r="E107" s="22"/>
      <c r="F107" s="23"/>
    </row>
    <row r="108" spans="1:6" ht="24" hidden="1" x14ac:dyDescent="0.55000000000000004">
      <c r="A108" s="53"/>
      <c r="B108" s="34"/>
      <c r="C108" s="34"/>
      <c r="D108" s="22"/>
      <c r="E108" s="22"/>
      <c r="F108" s="23"/>
    </row>
    <row r="109" spans="1:6" ht="24" hidden="1" x14ac:dyDescent="0.55000000000000004">
      <c r="A109" s="53"/>
      <c r="B109" s="34"/>
      <c r="C109" s="34"/>
      <c r="D109" s="22"/>
      <c r="E109" s="22"/>
      <c r="F109" s="23"/>
    </row>
  </sheetData>
  <autoFilter ref="A1:H109" xr:uid="{00000000-0009-0000-0000-000009000000}">
    <filterColumn colId="3">
      <filters>
        <filter val="เด็กหญิง"/>
      </filters>
    </filterColumn>
    <sortState xmlns:xlrd2="http://schemas.microsoft.com/office/spreadsheetml/2017/richdata2" ref="A2:H39">
      <sortCondition ref="E1:E10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index</vt:lpstr>
      <vt:lpstr>บันทึก</vt:lpstr>
      <vt:lpstr>รายชื่อครู</vt:lpstr>
      <vt:lpstr>จำนวนนักเรียน</vt:lpstr>
      <vt:lpstr>อ.2-อ.3</vt:lpstr>
      <vt:lpstr>ป.1-ป.6</vt:lpstr>
      <vt:lpstr>ม.1-ม.3</vt:lpstr>
      <vt:lpstr>ย้ายเข้า-นักเรียนใหม่</vt:lpstr>
      <vt:lpstr>ย้ายออก</vt:lpstr>
      <vt:lpstr>xxจัดห้อง</vt:lpstr>
      <vt:lpstr>'ป.1-ป.6'!Print_Area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chanon Juntakad</dc:creator>
  <cp:lastModifiedBy>chanon Juntakad</cp:lastModifiedBy>
  <cp:lastPrinted>2026-05-25T09:02:07Z</cp:lastPrinted>
  <dcterms:created xsi:type="dcterms:W3CDTF">2026-05-12T03:09:51Z</dcterms:created>
  <dcterms:modified xsi:type="dcterms:W3CDTF">2026-05-29T03:18:53Z</dcterms:modified>
</cp:coreProperties>
</file>